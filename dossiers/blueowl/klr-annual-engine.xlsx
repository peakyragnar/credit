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Engine-FY" sheetId="2" state="visible" r:id="rId2"/>
    <sheet name="Chec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6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1"/>
    </font>
    <font>
      <name val="Arial"/>
      <color rgb="000000FF"/>
      <sz val="10"/>
    </font>
    <font>
      <name val="Arial"/>
      <color rgb="00666666"/>
      <sz val="9"/>
    </font>
    <font>
      <name val="Arial"/>
      <b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164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64" fontId="5" fillId="0" borderId="0" pivotButton="0" quotePrefix="0" xfId="0"/>
    <xf numFmtId="1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Kuvare Life Re Ltd. (Bermuda) — annual engine (audited GAAP financial statements)</t>
        </is>
      </c>
    </row>
    <row r="2">
      <c r="A2" s="2" t="inlineStr"/>
    </row>
    <row r="3">
      <c r="A3" s="2" t="inlineStr">
        <is>
          <t>Units: US DOLLARS as printed (not thousands). Blue = printed value; black bold = live formula;</t>
        </is>
      </c>
    </row>
    <row r="4">
      <c r="A4" s="2" t="inlineStr">
        <is>
          <t>CHECK rows verify identities (OK/FAIL/n/a). Checks tab = master count (must read 0).</t>
        </is>
      </c>
    </row>
    <row r="5">
      <c r="A5" s="2" t="inlineStr"/>
    </row>
    <row r="6">
      <c r="A6" s="2" t="inlineStr">
        <is>
          <t>Column basis is single-source, never mixed: FY2022/FY2023 from klr-fs-2023.pdf (pre-LDTI);</t>
        </is>
      </c>
    </row>
    <row r="7">
      <c r="A7" s="2" t="inlineStr">
        <is>
          <t>FY2024/FY2025 from klr-fs-2025.pdf (ASU 2018-12 restated). Pre-/post-LDTI line differences render</t>
        </is>
      </c>
    </row>
    <row r="8">
      <c r="A8" s="2" t="inlineStr">
        <is>
          <t>as blank cells on the inapplicable basis (boundary, not omission).</t>
        </is>
      </c>
    </row>
    <row r="9">
      <c r="A9" s="2" t="inlineStr">
        <is>
          <t>Extraction: extract/cross-section/klr_engine_raw.csv (374 rows, anchor-quoted).</t>
        </is>
      </c>
    </row>
    <row r="10">
      <c r="A10" s="2" t="inlineStr">
        <is>
          <t>Regenerate: python3 tools/build_platform_engines.py klr</t>
        </is>
      </c>
    </row>
    <row r="11">
      <c r="A11" s="2" t="inlineStr"/>
    </row>
    <row r="12">
      <c r="A12" s="2" t="inlineStr">
        <is>
          <t>Source print error, logged: klr-fs-2025 FY2024 cash-flow comparative prints operating cash 1,601,181,219</t>
        </is>
      </c>
    </row>
    <row r="13">
      <c r="A13" s="2" t="inlineStr">
        <is>
          <t>where its own components and restatement note prove 1,681,181,219 (an $80M misprint).</t>
        </is>
      </c>
    </row>
    <row r="14">
      <c r="A14" s="2" t="inlineStr">
        <is>
          <t>Boundary: KLR is the ONLY public financial-statement window into the Kuvare group; the three US</t>
        </is>
      </c>
    </row>
    <row r="15">
      <c r="A15" s="2" t="inlineStr">
        <is>
          <t>carriers publish no statutory statements and no Kuvare GAAP exists publicly.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cols>
    <col width="5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2" t="inlineStr"/>
      <c r="B1" s="1" t="inlineStr">
        <is>
          <t>FY2022</t>
        </is>
      </c>
      <c r="C1" s="1" t="inlineStr">
        <is>
          <t>FY2023</t>
        </is>
      </c>
      <c r="D1" s="1" t="inlineStr">
        <is>
          <t>FY2024</t>
        </is>
      </c>
      <c r="E1" s="1" t="inlineStr">
        <is>
          <t>FY2025</t>
        </is>
      </c>
    </row>
    <row r="3">
      <c r="A3" s="1" t="inlineStr">
        <is>
          <t>① REVENUES (US dollars as printed; FY2022/23 pre-LDTI, FY2024/25 LDTI-restated basis)</t>
        </is>
      </c>
    </row>
    <row r="4">
      <c r="A4" s="2" t="inlineStr">
        <is>
          <t xml:space="preserve">    Premium income</t>
        </is>
      </c>
      <c r="B4" s="3" t="n">
        <v>323847363</v>
      </c>
      <c r="C4" s="3" t="n">
        <v>31499556</v>
      </c>
      <c r="D4" s="3" t="n">
        <v>47434591</v>
      </c>
      <c r="E4" s="3" t="n">
        <v>104573992</v>
      </c>
    </row>
    <row r="5">
      <c r="A5" s="2" t="inlineStr">
        <is>
          <t xml:space="preserve">    Investment income — funds withheld</t>
        </is>
      </c>
      <c r="B5" s="3" t="n">
        <v>138338022</v>
      </c>
      <c r="C5" s="3" t="n">
        <v>111113176</v>
      </c>
      <c r="D5" s="3" t="n">
        <v>85847672</v>
      </c>
      <c r="E5" s="3" t="n">
        <v>86782583</v>
      </c>
    </row>
    <row r="6">
      <c r="A6" s="2" t="inlineStr">
        <is>
          <t xml:space="preserve">    Realized losses — funds withheld</t>
        </is>
      </c>
      <c r="B6" s="3" t="n">
        <v>-8529326</v>
      </c>
      <c r="C6" s="3" t="n">
        <v>-17459106</v>
      </c>
      <c r="D6" s="3" t="n">
        <v>-13535126</v>
      </c>
      <c r="E6" s="3" t="n">
        <v>-38865947</v>
      </c>
    </row>
    <row r="7">
      <c r="A7" s="2" t="inlineStr">
        <is>
          <t xml:space="preserve">    Derivative gains (losses) — funds withheld</t>
        </is>
      </c>
      <c r="B7" s="3" t="n">
        <v>-6861246</v>
      </c>
      <c r="C7" s="3" t="n">
        <v>7728138</v>
      </c>
      <c r="D7" s="3" t="n">
        <v>15381205</v>
      </c>
      <c r="E7" s="3" t="n">
        <v>16622953</v>
      </c>
    </row>
    <row r="8">
      <c r="A8" s="2" t="inlineStr">
        <is>
          <t xml:space="preserve">    Unrealized gains (losses) — embedded derivative</t>
        </is>
      </c>
      <c r="B8" s="3" t="n">
        <v>-643645049</v>
      </c>
      <c r="C8" s="3" t="n">
        <v>60722710</v>
      </c>
      <c r="D8" s="3" t="n">
        <v>-10374138</v>
      </c>
      <c r="E8" s="3" t="n">
        <v>76083711</v>
      </c>
    </row>
    <row r="9">
      <c r="A9" s="2" t="inlineStr">
        <is>
          <t xml:space="preserve">    Amortization of deferred profit liability (pre-LDTI)</t>
        </is>
      </c>
      <c r="B9" s="3" t="n">
        <v>7724099</v>
      </c>
      <c r="C9" s="3" t="n">
        <v>6716655</v>
      </c>
      <c r="D9" s="3" t="n"/>
      <c r="E9" s="3" t="n"/>
    </row>
    <row r="10">
      <c r="A10" s="2" t="inlineStr">
        <is>
          <t xml:space="preserve">    Amortization of unearned revenue reserve (LDTI)</t>
        </is>
      </c>
      <c r="B10" s="3" t="n"/>
      <c r="C10" s="3" t="n"/>
      <c r="D10" s="3" t="n">
        <v>4165059</v>
      </c>
      <c r="E10" s="3" t="n">
        <v>4400993</v>
      </c>
    </row>
    <row r="11">
      <c r="A11" s="2" t="inlineStr">
        <is>
          <t xml:space="preserve">    Investment management expenses (contra)</t>
        </is>
      </c>
      <c r="B11" s="3" t="n">
        <v>-12479200</v>
      </c>
      <c r="C11" s="3" t="n">
        <v>-15445404</v>
      </c>
      <c r="D11" s="3" t="n">
        <v>-17614157</v>
      </c>
      <c r="E11" s="3" t="n">
        <v>-22875521</v>
      </c>
    </row>
    <row r="12">
      <c r="A12" s="2" t="inlineStr">
        <is>
          <t xml:space="preserve">    Net investment income</t>
        </is>
      </c>
      <c r="B12" s="3" t="n">
        <v>16101286</v>
      </c>
      <c r="C12" s="3" t="n">
        <v>128516699</v>
      </c>
      <c r="D12" s="3" t="n">
        <v>250938723</v>
      </c>
      <c r="E12" s="3" t="n">
        <v>336659213</v>
      </c>
    </row>
    <row r="13">
      <c r="A13" s="2" t="inlineStr">
        <is>
          <t xml:space="preserve">    Realized gains (losses) — investments &amp; derivatives</t>
        </is>
      </c>
      <c r="B13" s="3" t="n">
        <v>-2461211</v>
      </c>
      <c r="C13" s="3" t="n">
        <v>-6667377</v>
      </c>
      <c r="D13" s="3" t="n">
        <v>-18767637</v>
      </c>
      <c r="E13" s="3" t="n">
        <v>10499276</v>
      </c>
    </row>
    <row r="14">
      <c r="A14" s="2" t="inlineStr">
        <is>
          <t xml:space="preserve">    Unrealized gains (losses) — investments</t>
        </is>
      </c>
      <c r="B14" s="3" t="n">
        <v>-14185145</v>
      </c>
      <c r="C14" s="3" t="n">
        <v>9129385</v>
      </c>
      <c r="D14" s="3" t="n">
        <v>3139131</v>
      </c>
      <c r="E14" s="3" t="n">
        <v>-3025747</v>
      </c>
    </row>
    <row r="15">
      <c r="A15" s="2" t="inlineStr">
        <is>
          <t xml:space="preserve">    Unrealized losses — derivatives</t>
        </is>
      </c>
      <c r="B15" s="3" t="n">
        <v>-2647566</v>
      </c>
      <c r="C15" s="3" t="n">
        <v>-61636572</v>
      </c>
      <c r="D15" s="3" t="n">
        <v>-189931587</v>
      </c>
      <c r="E15" s="3" t="n">
        <v>-170961813</v>
      </c>
    </row>
    <row r="16">
      <c r="A16" s="2" t="inlineStr">
        <is>
          <t>TOTAL REVENUES (printed)</t>
        </is>
      </c>
      <c r="B16" s="3" t="n">
        <v>-204797973</v>
      </c>
      <c r="C16" s="3" t="n">
        <v>254217860</v>
      </c>
      <c r="D16" s="3" t="n">
        <v>156683736</v>
      </c>
      <c r="E16" s="3" t="n">
        <v>399893693</v>
      </c>
    </row>
    <row r="17">
      <c r="A17" s="4" t="inlineStr">
        <is>
          <t>CHECK: revenue lines foot</t>
        </is>
      </c>
      <c r="B17" s="4">
        <f>IF(OR(B4+B5+B6+B7+B8+B9+B10+B11+B12+B13+B14+B15="",B16=""),"n/a",IF(ABS(B4+B5+B6+B7+B8+B9+B10+B11+B12+B13+B14+B15-B16)&lt;=2,"OK","FAIL"))</f>
        <v/>
      </c>
      <c r="C17" s="4">
        <f>IF(OR(C4+C5+C6+C7+C8+C9+C10+C11+C12+C13+C14+C15="",C16=""),"n/a",IF(ABS(C4+C5+C6+C7+C8+C9+C10+C11+C12+C13+C14+C15-C16)&lt;=2,"OK","FAIL"))</f>
        <v/>
      </c>
      <c r="D17" s="4">
        <f>IF(OR(D4+D5+D6+D7+D8+D9+D10+D11+D12+D13+D14+D15="",D16=""),"n/a",IF(ABS(D4+D5+D6+D7+D8+D9+D10+D11+D12+D13+D14+D15-D16)&lt;=2,"OK","FAIL"))</f>
        <v/>
      </c>
      <c r="E17" s="4">
        <f>IF(OR(E4+E5+E6+E7+E8+E9+E10+E11+E12+E13+E14+E15="",E16=""),"n/a",IF(ABS(E4+E5+E6+E7+E8+E9+E10+E11+E12+E13+E14+E15-E16)&lt;=2,"OK","FAIL"))</f>
        <v/>
      </c>
    </row>
    <row r="19">
      <c r="A19" s="1" t="inlineStr">
        <is>
          <t>② BENEFITS AND EXPENSES (no printed total in any year — computed; signed as stored)</t>
        </is>
      </c>
    </row>
    <row r="20">
      <c r="A20" s="2" t="inlineStr">
        <is>
          <t xml:space="preserve">    Claims and other insurance expenses</t>
        </is>
      </c>
      <c r="B20" s="3" t="n">
        <v>334958734</v>
      </c>
      <c r="C20" s="3" t="n">
        <v>101826800</v>
      </c>
      <c r="D20" s="3" t="n">
        <v>145135552</v>
      </c>
      <c r="E20" s="3" t="n">
        <v>217020702</v>
      </c>
    </row>
    <row r="21">
      <c r="A21" s="2" t="inlineStr">
        <is>
          <t xml:space="preserve">    Interest credited</t>
        </is>
      </c>
      <c r="B21" s="3" t="n">
        <v>29043643</v>
      </c>
      <c r="C21" s="3" t="n">
        <v>136366525</v>
      </c>
      <c r="D21" s="3" t="n">
        <v>151669370</v>
      </c>
      <c r="E21" s="3" t="n">
        <v>144079620</v>
      </c>
    </row>
    <row r="22">
      <c r="A22" s="2" t="inlineStr">
        <is>
          <t xml:space="preserve">    Change in fair value of market risk benefits (LDTI)</t>
        </is>
      </c>
      <c r="B22" s="3" t="n"/>
      <c r="C22" s="3" t="n"/>
      <c r="D22" s="3" t="n">
        <v>-1813405</v>
      </c>
      <c r="E22" s="3" t="n">
        <v>-2156861</v>
      </c>
    </row>
    <row r="23">
      <c r="A23" s="2" t="inlineStr">
        <is>
          <t xml:space="preserve">    Amortization of deferred acquisition costs</t>
        </is>
      </c>
      <c r="B23" s="3" t="n">
        <v>43630204</v>
      </c>
      <c r="C23" s="3" t="n">
        <v>7767036</v>
      </c>
      <c r="D23" s="3" t="n">
        <v>6815028</v>
      </c>
      <c r="E23" s="3" t="n">
        <v>10629733</v>
      </c>
    </row>
    <row r="24">
      <c r="A24" s="2" t="inlineStr">
        <is>
          <t xml:space="preserve">    Amortization of deferred commission (pre-LDTI)</t>
        </is>
      </c>
      <c r="B24" s="3" t="n">
        <v>2450048</v>
      </c>
      <c r="C24" s="3" t="n">
        <v>1897016</v>
      </c>
      <c r="D24" s="3" t="n"/>
      <c r="E24" s="3" t="n"/>
    </row>
    <row r="25">
      <c r="A25" s="2" t="inlineStr">
        <is>
          <t xml:space="preserve">    Net foreign exchange (gains) losses</t>
        </is>
      </c>
      <c r="B25" s="3" t="n">
        <v>1793430</v>
      </c>
      <c r="C25" s="3" t="n">
        <v>-31979730</v>
      </c>
      <c r="D25" s="3" t="n">
        <v>-125895668</v>
      </c>
      <c r="E25" s="3" t="n">
        <v>-10491536</v>
      </c>
    </row>
    <row r="26">
      <c r="A26" s="2" t="inlineStr">
        <is>
          <t xml:space="preserve">    Operating expenses</t>
        </is>
      </c>
      <c r="B26" s="3" t="n">
        <v>7742520</v>
      </c>
      <c r="C26" s="3" t="n">
        <v>14039102</v>
      </c>
      <c r="D26" s="3" t="n">
        <v>21651302</v>
      </c>
      <c r="E26" s="3" t="n">
        <v>23954615</v>
      </c>
    </row>
    <row r="27">
      <c r="A27" s="5" t="inlineStr">
        <is>
          <t>TOTAL BENEFITS AND EXPENSES (computed)</t>
        </is>
      </c>
      <c r="B27" s="6">
        <f>B20+B21+B22+B23+B24+B25+B26</f>
        <v/>
      </c>
      <c r="C27" s="6">
        <f>C20+C21+C22+C23+C24+C25+C26</f>
        <v/>
      </c>
      <c r="D27" s="6">
        <f>D20+D21+D22+D23+D24+D25+D26</f>
        <v/>
      </c>
      <c r="E27" s="6">
        <f>E20+E21+E22+E23+E24+E25+E26</f>
        <v/>
      </c>
    </row>
    <row r="29">
      <c r="A29" s="1" t="inlineStr">
        <is>
          <t>③ NET INCOME AND COMPREHENSIVE INCOME</t>
        </is>
      </c>
    </row>
    <row r="30">
      <c r="A30" s="2" t="inlineStr">
        <is>
          <t>NET INCOME (LOSS) (printed)</t>
        </is>
      </c>
      <c r="B30" s="3" t="n">
        <v>-624416552</v>
      </c>
      <c r="C30" s="3" t="n">
        <v>24301111</v>
      </c>
      <c r="D30" s="3" t="n">
        <v>-40878443</v>
      </c>
      <c r="E30" s="3" t="n">
        <v>16857420</v>
      </c>
    </row>
    <row r="31">
      <c r="A31" s="4" t="inlineStr">
        <is>
          <t>CHECK: revenues − expenses = net income</t>
        </is>
      </c>
      <c r="B31" s="4">
        <f>IF(OR(B16-B27="",B30=""),"n/a",IF(ABS(B16-B27-B30)&lt;=2,"OK","FAIL"))</f>
        <v/>
      </c>
      <c r="C31" s="4">
        <f>IF(OR(C16-C27="",C30=""),"n/a",IF(ABS(C16-C27-C30)&lt;=2,"OK","FAIL"))</f>
        <v/>
      </c>
      <c r="D31" s="4">
        <f>IF(OR(D16-D27="",D30=""),"n/a",IF(ABS(D16-D27-D30)&lt;=2,"OK","FAIL"))</f>
        <v/>
      </c>
      <c r="E31" s="4">
        <f>IF(OR(E16-E27="",E30=""),"n/a",IF(ABS(E16-E27-E30)&lt;=2,"OK","FAIL"))</f>
        <v/>
      </c>
    </row>
    <row r="32">
      <c r="A32" s="2" t="inlineStr">
        <is>
          <t>Total other comprehensive income (loss)</t>
        </is>
      </c>
      <c r="B32" s="3" t="n">
        <v>-16349130</v>
      </c>
      <c r="C32" s="3" t="n">
        <v>36222658</v>
      </c>
      <c r="D32" s="3" t="n">
        <v>78603322</v>
      </c>
      <c r="E32" s="3" t="n">
        <v>66585492</v>
      </c>
    </row>
    <row r="33">
      <c r="A33" s="2" t="inlineStr">
        <is>
          <t>TOTAL COMPREHENSIVE INCOME (LOSS) (printed)</t>
        </is>
      </c>
      <c r="B33" s="3" t="n">
        <v>-640765682</v>
      </c>
      <c r="C33" s="3" t="n">
        <v>60523769</v>
      </c>
      <c r="D33" s="3" t="n">
        <v>37724879</v>
      </c>
      <c r="E33" s="3" t="n">
        <v>83442912</v>
      </c>
    </row>
    <row r="34">
      <c r="A34" s="4" t="inlineStr">
        <is>
          <t>CHECK: NI + OCI = comprehensive income</t>
        </is>
      </c>
      <c r="B34" s="4">
        <f>IF(OR(B30+B32="",B33=""),"n/a",IF(ABS(B30+B32-B33)&lt;=2,"OK","FAIL"))</f>
        <v/>
      </c>
      <c r="C34" s="4">
        <f>IF(OR(C30+C32="",C33=""),"n/a",IF(ABS(C30+C32-C33)&lt;=2,"OK","FAIL"))</f>
        <v/>
      </c>
      <c r="D34" s="4">
        <f>IF(OR(D30+D32="",D33=""),"n/a",IF(ABS(D30+D32-D33)&lt;=2,"OK","FAIL"))</f>
        <v/>
      </c>
      <c r="E34" s="4">
        <f>IF(OR(E30+E32="",E33=""),"n/a",IF(ABS(E30+E32-E33)&lt;=2,"OK","FAIL"))</f>
        <v/>
      </c>
    </row>
    <row r="36">
      <c r="A36" s="1" t="inlineStr">
        <is>
          <t>④ STOCKS — balance sheet</t>
        </is>
      </c>
    </row>
    <row r="37">
      <c r="A37" s="2" t="inlineStr">
        <is>
          <t xml:space="preserve">    Total cash and invested assets</t>
        </is>
      </c>
      <c r="B37" s="3" t="n">
        <v>3496228009</v>
      </c>
      <c r="C37" s="3" t="n">
        <v>5299277306</v>
      </c>
      <c r="D37" s="3" t="n">
        <v>6808324903</v>
      </c>
      <c r="E37" s="3" t="n">
        <v>8571602379</v>
      </c>
    </row>
    <row r="38">
      <c r="A38" s="2" t="inlineStr">
        <is>
          <t xml:space="preserve">          fixed maturities AFS</t>
        </is>
      </c>
      <c r="B38" s="3" t="n">
        <v>220647262</v>
      </c>
      <c r="C38" s="3" t="n">
        <v>2139456599</v>
      </c>
      <c r="D38" s="3" t="n">
        <v>3611386500</v>
      </c>
      <c r="E38" s="3" t="n">
        <v>5473769373</v>
      </c>
    </row>
    <row r="39">
      <c r="A39" s="2" t="inlineStr">
        <is>
          <t xml:space="preserve">          fixed maturities trading</t>
        </is>
      </c>
      <c r="B39" s="3" t="n">
        <v>102682967</v>
      </c>
      <c r="C39" s="3" t="n">
        <v>99151767</v>
      </c>
      <c r="D39" s="3" t="n">
        <v>64599348</v>
      </c>
      <c r="E39" s="3" t="n">
        <v>89923055</v>
      </c>
    </row>
    <row r="40">
      <c r="A40" s="2" t="inlineStr">
        <is>
          <t xml:space="preserve">    Funds withheld assets</t>
        </is>
      </c>
      <c r="B40" s="3" t="n">
        <v>2950414208</v>
      </c>
      <c r="C40" s="3" t="n">
        <v>2737664843</v>
      </c>
      <c r="D40" s="3" t="n">
        <v>2538240191</v>
      </c>
      <c r="E40" s="3" t="n">
        <v>2380429197</v>
      </c>
    </row>
    <row r="41">
      <c r="A41" s="2" t="inlineStr">
        <is>
          <t xml:space="preserve">    Reinsurance recoverable</t>
        </is>
      </c>
      <c r="B41" s="3" t="n">
        <v>363088866</v>
      </c>
      <c r="C41" s="3" t="n">
        <v>601698241</v>
      </c>
      <c r="D41" s="3" t="n">
        <v>590435279</v>
      </c>
      <c r="E41" s="3" t="n">
        <v>1005136111</v>
      </c>
    </row>
    <row r="42">
      <c r="A42" s="2" t="inlineStr">
        <is>
          <t xml:space="preserve">    Deferred acquisition costs</t>
        </is>
      </c>
      <c r="B42" s="3" t="n">
        <v>77618271</v>
      </c>
      <c r="C42" s="3" t="n">
        <v>66416602</v>
      </c>
      <c r="D42" s="3" t="n">
        <v>83927267</v>
      </c>
      <c r="E42" s="3" t="n">
        <v>99874590</v>
      </c>
    </row>
    <row r="43">
      <c r="A43" s="2" t="inlineStr">
        <is>
          <t>TOTAL ASSETS (printed)</t>
        </is>
      </c>
      <c r="B43" s="3" t="n">
        <v>4123591491</v>
      </c>
      <c r="C43" s="3" t="n">
        <v>6080427344</v>
      </c>
      <c r="D43" s="3" t="n">
        <v>7647119941</v>
      </c>
      <c r="E43" s="3" t="n">
        <v>9811253429</v>
      </c>
    </row>
    <row r="44">
      <c r="A44" s="2" t="inlineStr">
        <is>
          <t xml:space="preserve">    Future policy benefit reserves (pre-LDTI)</t>
        </is>
      </c>
      <c r="B44" s="3" t="n">
        <v>3016925128</v>
      </c>
      <c r="C44" s="3" t="n">
        <v>4717071945</v>
      </c>
      <c r="D44" s="3" t="n"/>
      <c r="E44" s="3" t="n"/>
    </row>
    <row r="45">
      <c r="A45" s="2" t="inlineStr">
        <is>
          <t xml:space="preserve">    Policyholder account balance (LDTI)</t>
        </is>
      </c>
      <c r="B45" s="3" t="n"/>
      <c r="C45" s="3" t="n"/>
      <c r="D45" s="3" t="n">
        <v>4699682626</v>
      </c>
      <c r="E45" s="3" t="n">
        <v>6073847404</v>
      </c>
    </row>
    <row r="46">
      <c r="A46" s="2" t="inlineStr">
        <is>
          <t xml:space="preserve">    Liability for future policy benefits (LDTI)</t>
        </is>
      </c>
      <c r="B46" s="3" t="n"/>
      <c r="C46" s="3" t="n"/>
      <c r="D46" s="3" t="n">
        <v>1322080499</v>
      </c>
      <c r="E46" s="3" t="n">
        <v>1435122263</v>
      </c>
    </row>
    <row r="47">
      <c r="A47" s="2" t="inlineStr">
        <is>
          <t xml:space="preserve">    Market risk benefit liability (LDTI)</t>
        </is>
      </c>
      <c r="B47" s="3" t="n"/>
      <c r="C47" s="3" t="n"/>
      <c r="D47" s="3" t="n">
        <v>1457881</v>
      </c>
      <c r="E47" s="3" t="n">
        <v>1723897</v>
      </c>
    </row>
    <row r="48">
      <c r="A48" s="2" t="inlineStr">
        <is>
          <t xml:space="preserve">    Unearned revenue reserve (LDTI)</t>
        </is>
      </c>
      <c r="B48" s="3" t="n"/>
      <c r="C48" s="3" t="n"/>
      <c r="D48" s="3" t="n">
        <v>33278216</v>
      </c>
      <c r="E48" s="3" t="n">
        <v>28877223</v>
      </c>
    </row>
    <row r="49">
      <c r="A49" s="2" t="inlineStr">
        <is>
          <t xml:space="preserve">    Deposit liability</t>
        </is>
      </c>
      <c r="B49" s="3" t="n">
        <v>374587792</v>
      </c>
      <c r="C49" s="3" t="n">
        <v>295626469</v>
      </c>
      <c r="D49" s="3" t="n">
        <v>234689570</v>
      </c>
      <c r="E49" s="3" t="n">
        <v>197854244</v>
      </c>
    </row>
    <row r="50">
      <c r="A50" s="2" t="inlineStr">
        <is>
          <t xml:space="preserve">    Funds withheld liabilities</t>
        </is>
      </c>
      <c r="B50" s="3" t="n">
        <v>361407860</v>
      </c>
      <c r="C50" s="3" t="n">
        <v>581617667</v>
      </c>
      <c r="D50" s="3" t="n">
        <v>583515381</v>
      </c>
      <c r="E50" s="3" t="n">
        <v>993027009</v>
      </c>
    </row>
    <row r="51">
      <c r="A51" s="2" t="inlineStr">
        <is>
          <t xml:space="preserve">    Repurchase agreement liabilities</t>
        </is>
      </c>
      <c r="B51" s="3" t="n"/>
      <c r="C51" s="3" t="n"/>
      <c r="D51" s="3" t="n">
        <v>0</v>
      </c>
      <c r="E51" s="3" t="n">
        <v>20262710</v>
      </c>
    </row>
    <row r="52">
      <c r="A52" s="2" t="inlineStr">
        <is>
          <t xml:space="preserve">    Embedded derivative liabilities</t>
        </is>
      </c>
      <c r="B52" s="3" t="n">
        <v>438040589</v>
      </c>
      <c r="C52" s="3" t="n">
        <v>377317879</v>
      </c>
      <c r="D52" s="3" t="n">
        <v>387692017</v>
      </c>
      <c r="E52" s="3" t="n">
        <v>311608306</v>
      </c>
    </row>
    <row r="53">
      <c r="A53" s="2" t="inlineStr">
        <is>
          <t xml:space="preserve">    Due to affiliates</t>
        </is>
      </c>
      <c r="B53" s="3" t="n">
        <v>35240049</v>
      </c>
      <c r="C53" s="3" t="n">
        <v>0</v>
      </c>
      <c r="D53" s="3" t="n">
        <v>190288</v>
      </c>
      <c r="E53" s="3" t="n">
        <v>0</v>
      </c>
    </row>
    <row r="54">
      <c r="A54" s="2" t="inlineStr">
        <is>
          <t>TOTAL LIABILITIES (printed)</t>
        </is>
      </c>
      <c r="B54" s="3" t="n">
        <v>4298167897</v>
      </c>
      <c r="C54" s="3" t="n">
        <v>6144479981</v>
      </c>
      <c r="D54" s="3" t="n">
        <v>7579187380</v>
      </c>
      <c r="E54" s="3" t="n">
        <v>9639324472</v>
      </c>
    </row>
    <row r="55">
      <c r="A55" s="2" t="inlineStr">
        <is>
          <t xml:space="preserve">      share capital</t>
        </is>
      </c>
      <c r="B55" s="3" t="n">
        <v>250000</v>
      </c>
      <c r="C55" s="3" t="n">
        <v>250000</v>
      </c>
      <c r="D55" s="3" t="n">
        <v>250000</v>
      </c>
      <c r="E55" s="3" t="n">
        <v>250000</v>
      </c>
    </row>
    <row r="56">
      <c r="A56" s="2" t="inlineStr">
        <is>
          <t xml:space="preserve">      additional paid-in capital</t>
        </is>
      </c>
      <c r="B56" s="3" t="n">
        <v>132119428</v>
      </c>
      <c r="C56" s="3" t="n">
        <v>182119428</v>
      </c>
      <c r="D56" s="3" t="n">
        <v>307119428</v>
      </c>
      <c r="E56" s="3" t="n">
        <v>327672912</v>
      </c>
    </row>
    <row r="57">
      <c r="A57" s="2" t="inlineStr">
        <is>
          <t xml:space="preserve">      retained earnings (deficit)</t>
        </is>
      </c>
      <c r="B57" s="3" t="n">
        <v>-290596704</v>
      </c>
      <c r="C57" s="3" t="n">
        <v>-266336892</v>
      </c>
      <c r="D57" s="3" t="n">
        <v>-301305787</v>
      </c>
      <c r="E57" s="3" t="n">
        <v>-284448367</v>
      </c>
    </row>
    <row r="58">
      <c r="A58" s="2" t="inlineStr">
        <is>
          <t xml:space="preserve">      accumulated other comprehensive income</t>
        </is>
      </c>
      <c r="B58" s="3" t="n">
        <v>-16349130</v>
      </c>
      <c r="C58" s="3" t="n">
        <v>19914827</v>
      </c>
      <c r="D58" s="3" t="n">
        <v>61868920</v>
      </c>
      <c r="E58" s="3" t="n">
        <v>128454412</v>
      </c>
    </row>
    <row r="59">
      <c r="A59" s="2" t="inlineStr">
        <is>
          <t>TOTAL SHAREHOLDER'S EQUITY (printed)</t>
        </is>
      </c>
      <c r="B59" s="3" t="n">
        <v>-174576406</v>
      </c>
      <c r="C59" s="3" t="n">
        <v>-64052637</v>
      </c>
      <c r="D59" s="3" t="n">
        <v>67932561</v>
      </c>
      <c r="E59" s="3" t="n">
        <v>171928957</v>
      </c>
    </row>
    <row r="60">
      <c r="A60" s="4" t="inlineStr">
        <is>
          <t>CHECK: equity components foot</t>
        </is>
      </c>
      <c r="B60" s="4">
        <f>IF(OR(B55+B56+B57+B58="",B59=""),"n/a",IF(ABS(B55+B56+B57+B58-B59)&lt;=2,"OK","FAIL"))</f>
        <v/>
      </c>
      <c r="C60" s="4">
        <f>IF(OR(C55+C56+C57+C58="",C59=""),"n/a",IF(ABS(C55+C56+C57+C58-C59)&lt;=2,"OK","FAIL"))</f>
        <v/>
      </c>
      <c r="D60" s="4">
        <f>IF(OR(D55+D56+D57+D58="",D59=""),"n/a",IF(ABS(D55+D56+D57+D58-D59)&lt;=2,"OK","FAIL"))</f>
        <v/>
      </c>
      <c r="E60" s="4">
        <f>IF(OR(E55+E56+E57+E58="",E59=""),"n/a",IF(ABS(E55+E56+E57+E58-E59)&lt;=2,"OK","FAIL"))</f>
        <v/>
      </c>
    </row>
    <row r="61">
      <c r="A61" s="4" t="inlineStr">
        <is>
          <t>CHECK: A = L + E</t>
        </is>
      </c>
      <c r="B61" s="4">
        <f>IF(OR(B54+B59="",B43=""),"n/a",IF(ABS(B54+B59-B43)&lt;=2,"OK","FAIL"))</f>
        <v/>
      </c>
      <c r="C61" s="4">
        <f>IF(OR(C54+C59="",C43=""),"n/a",IF(ABS(C54+C59-C43)&lt;=2,"OK","FAIL"))</f>
        <v/>
      </c>
      <c r="D61" s="4">
        <f>IF(OR(D54+D59="",D43=""),"n/a",IF(ABS(D54+D59-D43)&lt;=2,"OK","FAIL"))</f>
        <v/>
      </c>
      <c r="E61" s="4">
        <f>IF(OR(E54+E59="",E43=""),"n/a",IF(ABS(E54+E59-E43)&lt;=2,"OK","FAIL"))</f>
        <v/>
      </c>
    </row>
    <row r="62">
      <c r="A62" s="5" t="inlineStr">
        <is>
          <t>EQUITY / ASSETS</t>
        </is>
      </c>
      <c r="B62" s="7">
        <f>IF(B43=0,"",B59/B43)</f>
        <v/>
      </c>
      <c r="C62" s="7">
        <f>IF(C43=0,"",C59/C43)</f>
        <v/>
      </c>
      <c r="D62" s="7">
        <f>IF(D43=0,"",D59/D43)</f>
        <v/>
      </c>
      <c r="E62" s="7">
        <f>IF(E43=0,"",E59/E43)</f>
        <v/>
      </c>
    </row>
    <row r="63">
      <c r="A63" s="4" t="inlineStr">
        <is>
          <t>Equity was NEGATIVE at YE2022 (−$174.6M) and YE2023 (−$64.1M); rebuilt to $171.9M by YE2025 against $9.8B of assets. FY2024 column is the ASU 2018-12 (LDTI) restated basis per klr-fs-2025; as-reported FY2024 (net loss −$37.2M, equity +$7.7M) is preserved in the extraction CSV.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1" t="inlineStr">
        <is>
          <t>Master check — count of FAIL cells across all engine tabs (must be 0)</t>
        </is>
      </c>
    </row>
    <row r="2">
      <c r="A2" s="5" t="inlineStr">
        <is>
          <t>TOTAL FAILING CHECKS</t>
        </is>
      </c>
      <c r="B2" s="5">
        <f>B3</f>
        <v/>
      </c>
    </row>
    <row r="3">
      <c r="A3" s="4" t="inlineStr">
        <is>
          <t>chunk 1</t>
        </is>
      </c>
      <c r="B3" s="2">
        <f>COUNTIF('Engine-FY'!B17,"FAIL")+COUNTIF('Engine-FY'!C17,"FAIL")+COUNTIF('Engine-FY'!D17,"FAIL")+COUNTIF('Engine-FY'!E17,"FAIL")+COUNTIF('Engine-FY'!B31,"FAIL")+COUNTIF('Engine-FY'!C31,"FAIL")+COUNTIF('Engine-FY'!D31,"FAIL")+COUNTIF('Engine-FY'!E31,"FAIL")+COUNTIF('Engine-FY'!B34,"FAIL")+COUNTIF('Engine-FY'!C34,"FAIL")+COUNTIF('Engine-FY'!D34,"FAIL")+COUNTIF('Engine-FY'!E34,"FAIL")+COUNTIF('Engine-FY'!B60,"FAIL")+COUNTIF('Engine-FY'!C60,"FAIL")+COUNTIF('Engine-FY'!D60,"FAIL")+COUNTIF('Engine-FY'!E60,"FAIL")+COUNTIF('Engine-FY'!B61,"FAIL")+COUNTIF('Engine-FY'!C61,"FAIL")+COUNTIF('Engine-FY'!D61,"FAIL")+COUNTIF('Engine-FY'!E61,"FAIL")</f>
        <v/>
      </c>
    </row>
    <row r="5">
      <c r="A5" s="4" t="inlineStr">
        <is>
          <t>20 check cells tracked. KLR engine.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2026-07-22T21:27:36Z</dcterms:created>
  <dcterms:modified xsi:type="dcterms:W3CDTF">2026-07-22T21:27:36Z</dcterms:modified>
</cp:coreProperties>
</file>