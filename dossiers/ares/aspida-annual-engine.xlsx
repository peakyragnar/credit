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gine-FY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  <font>
      <name val="Arial"/>
      <color rgb="000000FF"/>
      <sz val="10"/>
    </font>
    <font>
      <name val="Arial"/>
      <color rgb="00666666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Aspida Life Insurance Company — annual engine (statutory basis)</t>
        </is>
      </c>
    </row>
    <row r="2">
      <c r="A2" s="2" t="inlineStr"/>
    </row>
    <row r="3">
      <c r="A3" s="2" t="inlineStr">
        <is>
          <t>Units: US$ thousands as printed. Blue = printed value; black bold = live formula; CHECK rows</t>
        </is>
      </c>
    </row>
    <row r="4">
      <c r="A4" s="2" t="inlineStr">
        <is>
          <t>verify identities (OK/FAIL/n/a). Checks tab = master count of failing checks (must read 0).</t>
        </is>
      </c>
    </row>
    <row r="5">
      <c r="A5" s="2" t="inlineStr"/>
    </row>
    <row r="6">
      <c r="A6" s="2" t="inlineStr">
        <is>
          <t>Sources: EY-audited statutory financial statements embedded in EDGAR RILA filings (CIK 1934234):</t>
        </is>
      </c>
    </row>
    <row r="7">
      <c r="A7" s="2" t="inlineStr">
        <is>
          <t>485BPOS filed 2026 (FY2025+FY2024) and N-4 filed 2025 (FY2023). Extraction:</t>
        </is>
      </c>
    </row>
    <row r="8">
      <c r="A8" s="2" t="inlineStr">
        <is>
          <t>extract/cross-section/aspida_engine_raw.csv (257 rows, anchor-quoted).</t>
        </is>
      </c>
    </row>
    <row r="9">
      <c r="A9" s="2" t="inlineStr">
        <is>
          <t>Regenerate: python3 tools/build_platform_engines.py aspida</t>
        </is>
      </c>
    </row>
    <row r="10">
      <c r="A10" s="2" t="inlineStr"/>
    </row>
    <row r="11">
      <c r="A11" s="2" t="inlineStr">
        <is>
          <t>Boundary: NO quarterly cadence exists anywhere in public documents (Ares 10-Qs carry zero Aspida</t>
        </is>
      </c>
    </row>
    <row r="12">
      <c r="A12" s="2" t="inlineStr">
        <is>
          <t>data; no NAIC blanks are published). This annual engine is the maximum public resolution.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</cols>
  <sheetData>
    <row r="1">
      <c r="A1" s="2" t="inlineStr"/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3">
      <c r="A3" s="1" t="inlineStr">
        <is>
          <t>① MONEY IN — premiums and deposits (US$ thousands, statutory basis)</t>
        </is>
      </c>
    </row>
    <row r="4">
      <c r="A4" s="2" t="inlineStr">
        <is>
          <t xml:space="preserve">    Premiums — direct (note 5)</t>
        </is>
      </c>
      <c r="B4" s="3" t="n">
        <v>1999178</v>
      </c>
      <c r="C4" s="3" t="n">
        <v>3814150</v>
      </c>
      <c r="D4" s="3" t="n">
        <v>4413068</v>
      </c>
    </row>
    <row r="5">
      <c r="A5" s="2" t="inlineStr">
        <is>
          <t xml:space="preserve">    Premiums — reinsurance assumed (note 5)</t>
        </is>
      </c>
      <c r="B5" s="3" t="n">
        <v>1</v>
      </c>
      <c r="C5" s="3" t="n">
        <v>345764</v>
      </c>
      <c r="D5" s="3" t="n">
        <v>1634879</v>
      </c>
    </row>
    <row r="6">
      <c r="A6" s="2" t="inlineStr">
        <is>
          <t xml:space="preserve">    Premiums — reinsurance ceded (note 5)</t>
        </is>
      </c>
      <c r="B6" s="3" t="n">
        <v>-552030</v>
      </c>
      <c r="C6" s="3" t="n">
        <v>-3375986</v>
      </c>
      <c r="D6" s="3" t="n">
        <v>-3836947</v>
      </c>
    </row>
    <row r="7">
      <c r="A7" s="2" t="inlineStr">
        <is>
          <t>Net premiums earned (note 5)</t>
        </is>
      </c>
      <c r="B7" s="3" t="n">
        <v>1447149</v>
      </c>
      <c r="C7" s="3" t="n">
        <v>783928</v>
      </c>
      <c r="D7" s="3" t="n">
        <v>2211000</v>
      </c>
    </row>
    <row r="8">
      <c r="A8" s="4" t="inlineStr">
        <is>
          <t>CHECK: direct + assumed + ceded(signed) = net (note 5)</t>
        </is>
      </c>
      <c r="B8" s="4">
        <f>IF(OR(B4+B5+B6="",B7=""),"n/a",IF(ABS(B4+B5+B6-B7)&lt;=2,"OK","FAIL"))</f>
        <v/>
      </c>
      <c r="C8" s="4">
        <f>IF(OR(C4+C5+C6="",C7=""),"n/a",IF(ABS(C4+C5+C6-C7)&lt;=2,"OK","FAIL"))</f>
        <v/>
      </c>
      <c r="D8" s="4">
        <f>IF(OR(D4+D5+D6="",D7=""),"n/a",IF(ABS(D4+D5+D6-D7)&lt;=2,"OK","FAIL"))</f>
        <v/>
      </c>
    </row>
    <row r="9">
      <c r="A9" s="2" t="inlineStr">
        <is>
          <t>Premium &amp; annuity considerations, net (face)</t>
        </is>
      </c>
      <c r="B9" s="3" t="n">
        <v>1447149</v>
      </c>
      <c r="C9" s="3" t="n">
        <v>783928</v>
      </c>
      <c r="D9" s="3" t="n">
        <v>2211000</v>
      </c>
    </row>
    <row r="10">
      <c r="A10" s="4" t="inlineStr">
        <is>
          <t>CHECK: note 5 net = face premium line</t>
        </is>
      </c>
      <c r="B10" s="4">
        <f>IF(OR(B7="",B9=""),"n/a",IF(ABS(B7-B9)&lt;=2,"OK","FAIL"))</f>
        <v/>
      </c>
      <c r="C10" s="4">
        <f>IF(OR(C7="",C9=""),"n/a",IF(ABS(C7-C9)&lt;=2,"OK","FAIL"))</f>
        <v/>
      </c>
      <c r="D10" s="4">
        <f>IF(OR(D7="",D9=""),"n/a",IF(ABS(D7-D9)&lt;=2,"OK","FAIL"))</f>
        <v/>
      </c>
    </row>
    <row r="11">
      <c r="A11" s="2" t="inlineStr">
        <is>
          <t>Net deposits on deposit-type contracts (cash flow)</t>
        </is>
      </c>
      <c r="B11" s="3" t="n">
        <v>22</v>
      </c>
      <c r="C11" s="3" t="n">
        <v>8019</v>
      </c>
      <c r="D11" s="3" t="n">
        <v>811271</v>
      </c>
    </row>
    <row r="12">
      <c r="A12" s="5" t="inlineStr">
        <is>
          <t>TOTAL INFLOWS (net premiums + deposits)</t>
        </is>
      </c>
      <c r="B12" s="6">
        <f>B9+B11</f>
        <v/>
      </c>
      <c r="C12" s="6">
        <f>C9+C11</f>
        <v/>
      </c>
      <c r="D12" s="6">
        <f>D9+D11</f>
        <v/>
      </c>
    </row>
    <row r="13">
      <c r="A13" s="4" t="inlineStr">
        <is>
          <t>Funding agreements launched 2025: deposit-type liability 22 → 8,041 → 819,312.</t>
        </is>
      </c>
    </row>
    <row r="15">
      <c r="A15" s="1" t="inlineStr">
        <is>
          <t>② REVENUES (statutory summary of operations)</t>
        </is>
      </c>
    </row>
    <row r="16">
      <c r="A16" s="2" t="inlineStr">
        <is>
          <t xml:space="preserve">    Premium &amp; annuity considerations, net</t>
        </is>
      </c>
      <c r="B16" s="3" t="n">
        <v>1447149</v>
      </c>
      <c r="C16" s="3" t="n">
        <v>783928</v>
      </c>
      <c r="D16" s="3" t="n">
        <v>2211000</v>
      </c>
    </row>
    <row r="17">
      <c r="A17" s="2" t="inlineStr">
        <is>
          <t xml:space="preserve">    Considerations — supplementary contracts</t>
        </is>
      </c>
      <c r="B17" s="3" t="n">
        <v>0</v>
      </c>
      <c r="C17" s="3" t="n">
        <v>0</v>
      </c>
      <c r="D17" s="3" t="n">
        <v>111</v>
      </c>
    </row>
    <row r="18">
      <c r="A18" s="2" t="inlineStr">
        <is>
          <t xml:space="preserve">    Net investment income</t>
        </is>
      </c>
      <c r="B18" s="3" t="n">
        <v>109253</v>
      </c>
      <c r="C18" s="3" t="n">
        <v>306834</v>
      </c>
      <c r="D18" s="3" t="n">
        <v>614293</v>
      </c>
    </row>
    <row r="19">
      <c r="A19" s="2" t="inlineStr">
        <is>
          <t xml:space="preserve">    Amortization of IMR</t>
        </is>
      </c>
      <c r="B19" s="3" t="n">
        <v>98</v>
      </c>
      <c r="C19" s="3" t="n">
        <v>209</v>
      </c>
      <c r="D19" s="3" t="n">
        <v>1756</v>
      </c>
    </row>
    <row r="20">
      <c r="A20" s="2" t="inlineStr">
        <is>
          <t xml:space="preserve">    Commissions &amp; expense allowances on reinsurance ceded</t>
        </is>
      </c>
      <c r="B20" s="3" t="n">
        <v>2507</v>
      </c>
      <c r="C20" s="3" t="n">
        <v>203491</v>
      </c>
      <c r="D20" s="3" t="n">
        <v>242189</v>
      </c>
    </row>
    <row r="21">
      <c r="A21" s="2" t="inlineStr">
        <is>
          <t xml:space="preserve">    Modco assumed adjustment</t>
        </is>
      </c>
      <c r="B21" s="3" t="n">
        <v>22119</v>
      </c>
      <c r="C21" s="3" t="n">
        <v>24472</v>
      </c>
      <c r="D21" s="3" t="n">
        <v>32400</v>
      </c>
    </row>
    <row r="22">
      <c r="A22" s="2" t="inlineStr">
        <is>
          <t xml:space="preserve">    Amortization of deferred reinsurance gain</t>
        </is>
      </c>
      <c r="B22" s="3" t="n">
        <v>0</v>
      </c>
      <c r="C22" s="3" t="n">
        <v>43526</v>
      </c>
      <c r="D22" s="3" t="n">
        <v>0</v>
      </c>
    </row>
    <row r="23">
      <c r="A23" s="2" t="inlineStr">
        <is>
          <t xml:space="preserve">    Separate accounts net gain</t>
        </is>
      </c>
      <c r="B23" s="3" t="n">
        <v>0</v>
      </c>
      <c r="C23" s="3" t="n">
        <v>0</v>
      </c>
      <c r="D23" s="3" t="n">
        <v>39</v>
      </c>
    </row>
    <row r="24">
      <c r="A24" s="2" t="inlineStr">
        <is>
          <t xml:space="preserve">    Miscellaneous income</t>
        </is>
      </c>
      <c r="B24" s="3" t="n">
        <v>374</v>
      </c>
      <c r="C24" s="3" t="n">
        <v>1258</v>
      </c>
      <c r="D24" s="3" t="n">
        <v>1673</v>
      </c>
    </row>
    <row r="25">
      <c r="A25" s="2" t="inlineStr">
        <is>
          <t>TOTAL PREMIUMS AND OTHER REVENUES (printed)</t>
        </is>
      </c>
      <c r="B25" s="3" t="n">
        <v>1581500</v>
      </c>
      <c r="C25" s="3" t="n">
        <v>1363718</v>
      </c>
      <c r="D25" s="3" t="n">
        <v>3103461</v>
      </c>
    </row>
    <row r="26">
      <c r="A26" s="4" t="inlineStr">
        <is>
          <t>CHECK: revenue lines foot</t>
        </is>
      </c>
      <c r="B26" s="4">
        <f>IF(OR(B16+B17+B18+B19+B20+B21+B22+B23+B24="",B25=""),"n/a",IF(ABS(B16+B17+B18+B19+B20+B21+B22+B23+B24-B25)&lt;=2,"OK","FAIL"))</f>
        <v/>
      </c>
      <c r="C26" s="4">
        <f>IF(OR(C16+C17+C18+C19+C20+C21+C22+C23+C24="",C25=""),"n/a",IF(ABS(C16+C17+C18+C19+C20+C21+C22+C23+C24-C25)&lt;=2,"OK","FAIL"))</f>
        <v/>
      </c>
      <c r="D26" s="4">
        <f>IF(OR(D16+D17+D18+D19+D20+D21+D22+D23+D24="",D25=""),"n/a",IF(ABS(D16+D17+D18+D19+D20+D21+D22+D23+D24-D25)&lt;=2,"OK","FAIL"))</f>
        <v/>
      </c>
    </row>
    <row r="28">
      <c r="A28" s="1" t="inlineStr">
        <is>
          <t>③ BENEFITS AND OTHER DEDUCTIONS</t>
        </is>
      </c>
    </row>
    <row r="29">
      <c r="A29" s="2" t="inlineStr">
        <is>
          <t xml:space="preserve">    Annuity benefits</t>
        </is>
      </c>
      <c r="B29" s="3" t="n">
        <v>23714</v>
      </c>
      <c r="C29" s="3" t="n">
        <v>28649</v>
      </c>
      <c r="D29" s="3" t="n">
        <v>48006</v>
      </c>
    </row>
    <row r="30">
      <c r="A30" s="2" t="inlineStr">
        <is>
          <t xml:space="preserve">    Surrender benefits and withdrawals</t>
        </is>
      </c>
      <c r="B30" s="3" t="n">
        <v>21661</v>
      </c>
      <c r="C30" s="3" t="n">
        <v>61671</v>
      </c>
      <c r="D30" s="3" t="n">
        <v>163932</v>
      </c>
    </row>
    <row r="31">
      <c r="A31" s="2" t="inlineStr">
        <is>
          <t xml:space="preserve">    Interest on deposit-type contract funds</t>
        </is>
      </c>
      <c r="B31" s="3" t="n">
        <v>0</v>
      </c>
      <c r="C31" s="3" t="n">
        <v>-514</v>
      </c>
      <c r="D31" s="3" t="n">
        <v>11242</v>
      </c>
    </row>
    <row r="32">
      <c r="A32" s="2" t="inlineStr">
        <is>
          <t xml:space="preserve">    Increase in aggregate reserves</t>
        </is>
      </c>
      <c r="B32" s="3" t="n">
        <v>1413077</v>
      </c>
      <c r="C32" s="3" t="n">
        <v>859098</v>
      </c>
      <c r="D32" s="3" t="n">
        <v>2131791</v>
      </c>
    </row>
    <row r="33">
      <c r="A33" s="2" t="inlineStr">
        <is>
          <t xml:space="preserve">    Net transfers to/(from) separate accounts</t>
        </is>
      </c>
      <c r="B33" s="3" t="n">
        <v>-217</v>
      </c>
      <c r="C33" s="3" t="n">
        <v>-523</v>
      </c>
      <c r="D33" s="3" t="n">
        <v>1472</v>
      </c>
    </row>
    <row r="34">
      <c r="A34" s="2" t="inlineStr">
        <is>
          <t xml:space="preserve">    Commissions and brokerage expense</t>
        </is>
      </c>
      <c r="B34" s="3" t="n">
        <v>133841</v>
      </c>
      <c r="C34" s="3" t="n">
        <v>297015</v>
      </c>
      <c r="D34" s="3" t="n">
        <v>316014</v>
      </c>
    </row>
    <row r="35">
      <c r="A35" s="2" t="inlineStr">
        <is>
          <t xml:space="preserve">    Commission expense allowance on reinsurance assumed</t>
        </is>
      </c>
      <c r="B35" s="3" t="n">
        <v>520</v>
      </c>
      <c r="C35" s="3" t="n">
        <v>10292</v>
      </c>
      <c r="D35" s="3" t="n">
        <v>54183</v>
      </c>
    </row>
    <row r="36">
      <c r="A36" s="2" t="inlineStr">
        <is>
          <t xml:space="preserve">    Reinsurance investment credit</t>
        </is>
      </c>
      <c r="B36" s="3" t="n">
        <v>3339</v>
      </c>
      <c r="C36" s="3" t="n">
        <v>137309</v>
      </c>
      <c r="D36" s="3" t="n">
        <v>380357</v>
      </c>
    </row>
    <row r="37">
      <c r="A37" s="2" t="inlineStr">
        <is>
          <t xml:space="preserve">    General insurance expenses</t>
        </is>
      </c>
      <c r="B37" s="3" t="n">
        <v>29093</v>
      </c>
      <c r="C37" s="3" t="n">
        <v>43188</v>
      </c>
      <c r="D37" s="3" t="n">
        <v>50980</v>
      </c>
    </row>
    <row r="38">
      <c r="A38" s="2" t="inlineStr">
        <is>
          <t xml:space="preserve">    Insurance taxes, licenses and fees</t>
        </is>
      </c>
      <c r="B38" s="3" t="n">
        <v>1319</v>
      </c>
      <c r="C38" s="3" t="n">
        <v>5389</v>
      </c>
      <c r="D38" s="3" t="n">
        <v>4670</v>
      </c>
    </row>
    <row r="39">
      <c r="A39" s="2" t="inlineStr">
        <is>
          <t>TOTAL BENEFITS AND OTHER DEDUCTIONS (printed)</t>
        </is>
      </c>
      <c r="B39" s="3" t="n">
        <v>1626347</v>
      </c>
      <c r="C39" s="3" t="n">
        <v>1441574</v>
      </c>
      <c r="D39" s="3" t="n">
        <v>3162647</v>
      </c>
    </row>
    <row r="40">
      <c r="A40" s="4" t="inlineStr">
        <is>
          <t>CHECK: deduction lines foot</t>
        </is>
      </c>
      <c r="B40" s="4">
        <f>IF(OR(B29+B30+B31+B32+B33+B34+B35+B36+B37+B38="",B39=""),"n/a",IF(ABS(B29+B30+B31+B32+B33+B34+B35+B36+B37+B38-B39)&lt;=2,"OK","FAIL"))</f>
        <v/>
      </c>
      <c r="C40" s="4">
        <f>IF(OR(C29+C30+C31+C32+C33+C34+C35+C36+C37+C38="",C39=""),"n/a",IF(ABS(C29+C30+C31+C32+C33+C34+C35+C36+C37+C38-C39)&lt;=2,"OK","FAIL"))</f>
        <v/>
      </c>
      <c r="D40" s="4">
        <f>IF(OR(D29+D30+D31+D32+D33+D34+D35+D36+D37+D38="",D39=""),"n/a",IF(ABS(D29+D30+D31+D32+D33+D34+D35+D36+D37+D38-D39)&lt;=2,"OK","FAIL"))</f>
        <v/>
      </c>
    </row>
    <row r="42">
      <c r="A42" s="1" t="inlineStr">
        <is>
          <t>④ NET INCOME CHAIN</t>
        </is>
      </c>
    </row>
    <row r="43">
      <c r="A43" s="2" t="inlineStr">
        <is>
          <t>Loss from operations before FIT (printed)</t>
        </is>
      </c>
      <c r="B43" s="3" t="n">
        <v>-44847</v>
      </c>
      <c r="C43" s="3" t="n">
        <v>-77856</v>
      </c>
      <c r="D43" s="3" t="n">
        <v>-59186</v>
      </c>
    </row>
    <row r="44">
      <c r="A44" s="4" t="inlineStr">
        <is>
          <t>CHECK: revenues − deductions = pre-FIT</t>
        </is>
      </c>
      <c r="B44" s="4">
        <f>IF(OR(B25-B39="",B43=""),"n/a",IF(ABS(B25-B39-B43)&lt;=2,"OK","FAIL"))</f>
        <v/>
      </c>
      <c r="C44" s="4">
        <f>IF(OR(C25-C39="",C43=""),"n/a",IF(ABS(C25-C39-C43)&lt;=2,"OK","FAIL"))</f>
        <v/>
      </c>
      <c r="D44" s="4">
        <f>IF(OR(D25-D39="",D43=""),"n/a",IF(ABS(D25-D39-D43)&lt;=2,"OK","FAIL"))</f>
        <v/>
      </c>
    </row>
    <row r="45">
      <c r="A45" s="2" t="inlineStr">
        <is>
          <t>Federal income tax (expense) benefit</t>
        </is>
      </c>
      <c r="B45" s="3" t="n">
        <v>4752</v>
      </c>
      <c r="C45" s="3" t="n">
        <v>0</v>
      </c>
      <c r="D45" s="3" t="n">
        <v>-978</v>
      </c>
    </row>
    <row r="46">
      <c r="A46" s="2" t="inlineStr">
        <is>
          <t>Net loss from operations before realized gains (printed)</t>
        </is>
      </c>
      <c r="B46" s="3" t="n">
        <v>-49599</v>
      </c>
      <c r="C46" s="3" t="n">
        <v>-77856</v>
      </c>
      <c r="D46" s="3" t="n">
        <v>-58208</v>
      </c>
    </row>
    <row r="47">
      <c r="A47" s="4" t="inlineStr">
        <is>
          <t>CHECK: pre-FIT − FIT = pre-realized</t>
        </is>
      </c>
      <c r="B47" s="4">
        <f>IF(OR(B43-B45="",B46=""),"n/a",IF(ABS(B43-B45-B46)&lt;=2,"OK","FAIL"))</f>
        <v/>
      </c>
      <c r="C47" s="4">
        <f>IF(OR(C43-C45="",C46=""),"n/a",IF(ABS(C43-C45-C46)&lt;=2,"OK","FAIL"))</f>
        <v/>
      </c>
      <c r="D47" s="4">
        <f>IF(OR(D43-D45="",D46=""),"n/a",IF(ABS(D43-D45-D46)&lt;=2,"OK","FAIL"))</f>
        <v/>
      </c>
    </row>
    <row r="48">
      <c r="A48" s="2" t="inlineStr">
        <is>
          <t>Net realized investment gains, net of tax</t>
        </is>
      </c>
      <c r="B48" s="3" t="n">
        <v>841</v>
      </c>
      <c r="C48" s="3" t="n">
        <v>41174</v>
      </c>
      <c r="D48" s="3" t="n">
        <v>58198</v>
      </c>
    </row>
    <row r="49">
      <c r="A49" s="2" t="inlineStr">
        <is>
          <t>NET INCOME (LOSS) (printed)</t>
        </is>
      </c>
      <c r="B49" s="3" t="n">
        <v>-48758</v>
      </c>
      <c r="C49" s="3" t="n">
        <v>-36682</v>
      </c>
      <c r="D49" s="3" t="n">
        <v>-10</v>
      </c>
    </row>
    <row r="50">
      <c r="A50" s="4" t="inlineStr">
        <is>
          <t>CHECK: pre-realized + realized = net income</t>
        </is>
      </c>
      <c r="B50" s="4">
        <f>IF(OR(B46+B48="",B49=""),"n/a",IF(ABS(B46+B48-B49)&lt;=2,"OK","FAIL"))</f>
        <v/>
      </c>
      <c r="C50" s="4">
        <f>IF(OR(C46+C48="",C49=""),"n/a",IF(ABS(C46+C48-C49)&lt;=2,"OK","FAIL"))</f>
        <v/>
      </c>
      <c r="D50" s="4">
        <f>IF(OR(D46+D48="",D49=""),"n/a",IF(ABS(D46+D48-D49)&lt;=2,"OK","FAIL"))</f>
        <v/>
      </c>
    </row>
    <row r="51">
      <c r="A51" s="4" t="inlineStr">
        <is>
          <t>Source discrepancy, logged: FY2023 net loss prints (48,758) in operations vs (48,760) in the C&amp;S rollforward — $2k as printed in both filings; the rollforward foots with (48,760).</t>
        </is>
      </c>
    </row>
    <row r="53">
      <c r="A53" s="1" t="inlineStr">
        <is>
          <t>⑤ CAPITAL &amp; SURPLUS ROLLFORWARD</t>
        </is>
      </c>
    </row>
    <row r="54">
      <c r="A54" s="2" t="inlineStr">
        <is>
          <t>C&amp;S — beginning of year</t>
        </is>
      </c>
      <c r="B54" s="3" t="n">
        <v>114922</v>
      </c>
      <c r="C54" s="3" t="n">
        <v>352026</v>
      </c>
      <c r="D54" s="3" t="n">
        <v>433050</v>
      </c>
    </row>
    <row r="55">
      <c r="A55" s="2" t="inlineStr">
        <is>
          <t xml:space="preserve">    Net loss (per C&amp;S statement)</t>
        </is>
      </c>
      <c r="B55" s="3" t="n">
        <v>-48760</v>
      </c>
      <c r="C55" s="3" t="n">
        <v>-36682</v>
      </c>
      <c r="D55" s="3" t="n">
        <v>-10</v>
      </c>
    </row>
    <row r="56">
      <c r="A56" s="2" t="inlineStr">
        <is>
          <t xml:space="preserve">    Change in net unrealized capital gains</t>
        </is>
      </c>
      <c r="B56" s="3" t="n">
        <v>15960</v>
      </c>
      <c r="C56" s="3" t="n">
        <v>33547</v>
      </c>
      <c r="D56" s="3" t="n">
        <v>86596</v>
      </c>
    </row>
    <row r="57">
      <c r="A57" s="2" t="inlineStr">
        <is>
          <t xml:space="preserve">    Change in nonadmitted assets</t>
        </is>
      </c>
      <c r="B57" s="3" t="n">
        <v>-3209</v>
      </c>
      <c r="C57" s="3" t="n">
        <v>-3216</v>
      </c>
      <c r="D57" s="3" t="n">
        <v>1206</v>
      </c>
    </row>
    <row r="58">
      <c r="A58" s="2" t="inlineStr">
        <is>
          <t xml:space="preserve">    Change in asset valuation reserve</t>
        </is>
      </c>
      <c r="B58" s="3" t="n">
        <v>-8852</v>
      </c>
      <c r="C58" s="3" t="n">
        <v>-28480</v>
      </c>
      <c r="D58" s="3" t="n">
        <v>-64492</v>
      </c>
    </row>
    <row r="59">
      <c r="A59" s="2" t="inlineStr">
        <is>
          <t xml:space="preserve">    Change in net deferred income tax</t>
        </is>
      </c>
      <c r="B59" s="3" t="n">
        <v>25742</v>
      </c>
      <c r="C59" s="3" t="n">
        <v>8541</v>
      </c>
      <c r="D59" s="3" t="n">
        <v>12437</v>
      </c>
    </row>
    <row r="60">
      <c r="A60" s="2" t="inlineStr">
        <is>
          <t xml:space="preserve">    Capital contributions</t>
        </is>
      </c>
      <c r="B60" s="3" t="n">
        <v>247370</v>
      </c>
      <c r="C60" s="3" t="n">
        <v>150000</v>
      </c>
      <c r="D60" s="3" t="n">
        <v>225000</v>
      </c>
    </row>
    <row r="61">
      <c r="A61" s="2" t="inlineStr">
        <is>
          <t xml:space="preserve">    Ceding unrealized gains — reinsurance</t>
        </is>
      </c>
      <c r="B61" s="3" t="n"/>
      <c r="C61" s="3" t="n">
        <v>-33833</v>
      </c>
      <c r="D61" s="3" t="n">
        <v>-58327</v>
      </c>
    </row>
    <row r="62">
      <c r="A62" s="2" t="inlineStr">
        <is>
          <t xml:space="preserve">    Deferred reinsurance gain, net of amortization</t>
        </is>
      </c>
      <c r="B62" s="3" t="n">
        <v>8853</v>
      </c>
      <c r="C62" s="3" t="n">
        <v>-8853</v>
      </c>
      <c r="D62" s="3" t="n"/>
    </row>
    <row r="63">
      <c r="A63" s="2" t="inlineStr">
        <is>
          <t>C&amp;S — END OF YEAR (printed)</t>
        </is>
      </c>
      <c r="B63" s="3" t="n">
        <v>352026</v>
      </c>
      <c r="C63" s="3" t="n">
        <v>433050</v>
      </c>
      <c r="D63" s="3" t="n">
        <v>635460</v>
      </c>
    </row>
    <row r="64">
      <c r="A64" s="4" t="inlineStr">
        <is>
          <t>CHECK: rollforward foots</t>
        </is>
      </c>
      <c r="B64" s="4">
        <f>IF(OR(B54+B55+B56+B57+B58+B59+B60+B61+B62="",B63=""),"n/a",IF(ABS(B54+B55+B56+B57+B58+B59+B60+B61+B62-B63)&lt;=2,"OK","FAIL"))</f>
        <v/>
      </c>
      <c r="C64" s="4">
        <f>IF(OR(C54+C55+C56+C57+C58+C59+C60+C61+C62="",C63=""),"n/a",IF(ABS(C54+C55+C56+C57+C58+C59+C60+C61+C62-C63)&lt;=2,"OK","FAIL"))</f>
        <v/>
      </c>
      <c r="D64" s="4">
        <f>IF(OR(D54+D55+D56+D57+D58+D59+D60+D61+D62="",D63=""),"n/a",IF(ABS(D54+D55+D56+D57+D58+D59+D60+D61+D62-D63)&lt;=2,"OK","FAIL"))</f>
        <v/>
      </c>
    </row>
    <row r="66">
      <c r="A66" s="1" t="inlineStr">
        <is>
          <t>⑥ STOCKS — balance sheet</t>
        </is>
      </c>
    </row>
    <row r="67">
      <c r="A67" s="2" t="inlineStr">
        <is>
          <t>Total admitted assets</t>
        </is>
      </c>
      <c r="B67" s="3" t="n">
        <v>3080855</v>
      </c>
      <c r="C67" s="3" t="n">
        <v>7711458</v>
      </c>
      <c r="D67" s="3" t="n">
        <v>14741977</v>
      </c>
    </row>
    <row r="68">
      <c r="A68" s="2" t="inlineStr">
        <is>
          <t xml:space="preserve">      total cash and invested assets</t>
        </is>
      </c>
      <c r="B68" s="3" t="n">
        <v>3017144</v>
      </c>
      <c r="C68" s="3" t="n">
        <v>7603906</v>
      </c>
      <c r="D68" s="3" t="n">
        <v>14527069</v>
      </c>
    </row>
    <row r="69">
      <c r="A69" s="2" t="inlineStr">
        <is>
          <t>Total liabilities</t>
        </is>
      </c>
      <c r="B69" s="3" t="n">
        <v>2728829</v>
      </c>
      <c r="C69" s="3" t="n">
        <v>7278408</v>
      </c>
      <c r="D69" s="3" t="n">
        <v>14106517</v>
      </c>
    </row>
    <row r="70">
      <c r="A70" s="2" t="inlineStr">
        <is>
          <t xml:space="preserve">      aggregate reserve for life contracts (net)</t>
        </is>
      </c>
      <c r="B70" s="3" t="n">
        <v>2068747</v>
      </c>
      <c r="C70" s="3" t="n">
        <v>2927845</v>
      </c>
      <c r="D70" s="3" t="n">
        <v>5059635</v>
      </c>
    </row>
    <row r="71">
      <c r="A71" s="2" t="inlineStr">
        <is>
          <t xml:space="preserve">      liability for deposit-type contracts</t>
        </is>
      </c>
      <c r="B71" s="3" t="n">
        <v>22</v>
      </c>
      <c r="C71" s="3" t="n">
        <v>8041</v>
      </c>
      <c r="D71" s="3" t="n">
        <v>819312</v>
      </c>
    </row>
    <row r="72">
      <c r="A72" s="2" t="inlineStr">
        <is>
          <t xml:space="preserve">      funds held under reinsurance treaties (unauthorized)</t>
        </is>
      </c>
      <c r="B72" s="3" t="n">
        <v>555366</v>
      </c>
      <c r="C72" s="3" t="n">
        <v>3867938</v>
      </c>
      <c r="D72" s="3" t="n">
        <v>7567271</v>
      </c>
    </row>
    <row r="73">
      <c r="A73" s="2" t="inlineStr">
        <is>
          <t xml:space="preserve">      interest maintenance reserve</t>
        </is>
      </c>
      <c r="B73" s="3" t="n">
        <v>182</v>
      </c>
      <c r="C73" s="3" t="n">
        <v>679</v>
      </c>
      <c r="D73" s="3" t="n">
        <v>7670</v>
      </c>
    </row>
    <row r="74">
      <c r="A74" s="2" t="inlineStr">
        <is>
          <t xml:space="preserve">      asset valuation reserve</t>
        </is>
      </c>
      <c r="B74" s="3" t="n">
        <v>10625</v>
      </c>
      <c r="C74" s="3" t="n">
        <v>39105</v>
      </c>
      <c r="D74" s="3" t="n">
        <v>103597</v>
      </c>
    </row>
    <row r="75">
      <c r="A75" s="2" t="inlineStr">
        <is>
          <t>TOTAL CAPITAL AND SURPLUS (printed)</t>
        </is>
      </c>
      <c r="B75" s="3" t="n">
        <v>352026</v>
      </c>
      <c r="C75" s="3" t="n">
        <v>433050</v>
      </c>
      <c r="D75" s="3" t="n">
        <v>635460</v>
      </c>
    </row>
    <row r="76">
      <c r="A76" s="4" t="inlineStr">
        <is>
          <t>CHECK: A = L + C&amp;S</t>
        </is>
      </c>
      <c r="B76" s="4">
        <f>IF(OR(B69+B75="",B67=""),"n/a",IF(ABS(B69+B75-B67)&lt;=2,"OK","FAIL"))</f>
        <v/>
      </c>
      <c r="C76" s="4">
        <f>IF(OR(C69+C75="",C67=""),"n/a",IF(ABS(C69+C75-C67)&lt;=2,"OK","FAIL"))</f>
        <v/>
      </c>
      <c r="D76" s="4">
        <f>IF(OR(D69+D75="",D67=""),"n/a",IF(ABS(D69+D75-D67)&lt;=2,"OK","FAIL"))</f>
        <v/>
      </c>
    </row>
    <row r="77">
      <c r="A77" s="4" t="inlineStr">
        <is>
          <t>CHECK: C&amp;S rollforward end = balance sheet C&amp;S</t>
        </is>
      </c>
      <c r="B77" s="4">
        <f>IF(OR(B63="",B75=""),"n/a",IF(ABS(B63-B75)&lt;=2,"OK","FAIL"))</f>
        <v/>
      </c>
      <c r="C77" s="4">
        <f>IF(OR(C63="",C75=""),"n/a",IF(ABS(C63-C75)&lt;=2,"OK","FAIL"))</f>
        <v/>
      </c>
      <c r="D77" s="4">
        <f>IF(OR(D63="",D75=""),"n/a",IF(ABS(D63-D75)&lt;=2,"OK","FAIL"))</f>
        <v/>
      </c>
    </row>
    <row r="79">
      <c r="A79" s="1" t="inlineStr">
        <is>
          <t>⑦ THE REINSURANCE MACHINE — gross vs ceded reserves (note 6)</t>
        </is>
      </c>
    </row>
    <row r="80">
      <c r="A80" s="2" t="inlineStr">
        <is>
          <t>Gross annuity reserves</t>
        </is>
      </c>
      <c r="B80" s="3" t="n">
        <v>2621545</v>
      </c>
      <c r="C80" s="3" t="n">
        <v>6956197</v>
      </c>
      <c r="D80" s="3" t="n">
        <v>12836486</v>
      </c>
    </row>
    <row r="81">
      <c r="A81" s="2" t="inlineStr">
        <is>
          <t>Ceded annuity reserves</t>
        </is>
      </c>
      <c r="B81" s="3" t="n">
        <v>552798</v>
      </c>
      <c r="C81" s="3" t="n">
        <v>4026897</v>
      </c>
      <c r="D81" s="3" t="n">
        <v>7773758</v>
      </c>
    </row>
    <row r="82">
      <c r="A82" s="2" t="inlineStr">
        <is>
          <t>Net annuity reserves (printed)</t>
        </is>
      </c>
      <c r="B82" s="3" t="n">
        <v>2068747</v>
      </c>
      <c r="C82" s="3" t="n">
        <v>2929300</v>
      </c>
      <c r="D82" s="3" t="n">
        <v>5062728</v>
      </c>
    </row>
    <row r="83">
      <c r="A83" s="4" t="inlineStr">
        <is>
          <t>CHECK: gross − ceded = net reserves</t>
        </is>
      </c>
      <c r="B83" s="4">
        <f>IF(OR(B80-B81="",B82=""),"n/a",IF(ABS(B80-B81-B82)&lt;=2,"OK","FAIL"))</f>
        <v/>
      </c>
      <c r="C83" s="4">
        <f>IF(OR(C80-C81="",C82=""),"n/a",IF(ABS(C80-C81-C82)&lt;=2,"OK","FAIL"))</f>
        <v/>
      </c>
      <c r="D83" s="4">
        <f>IF(OR(D80-D81="",D82=""),"n/a",IF(ABS(D80-D81-D82)&lt;=2,"OK","FAIL"))</f>
        <v/>
      </c>
    </row>
    <row r="84">
      <c r="A84" s="5" t="inlineStr">
        <is>
          <t>CEDED SHARE OF GROSS RESERVES</t>
        </is>
      </c>
      <c r="B84" s="7">
        <f>IF(B80=0,"",B81/B80)</f>
        <v/>
      </c>
      <c r="C84" s="7">
        <f>IF(C80=0,"",C81/C80)</f>
        <v/>
      </c>
      <c r="D84" s="7">
        <f>IF(D80=0,"",D81/D80)</f>
        <v/>
      </c>
    </row>
    <row r="85">
      <c r="A85" s="4" t="inlineStr">
        <is>
          <t>21.1% → 57.9% → 60.6% — more than half the machine now runs through reinsurance counterparties.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Master check — count of FAIL cells across all engine tabs (must be 0)</t>
        </is>
      </c>
    </row>
    <row r="2">
      <c r="A2" s="5" t="inlineStr">
        <is>
          <t>TOTAL FAILING CHECKS</t>
        </is>
      </c>
      <c r="B2" s="5">
        <f>B3+B4</f>
        <v/>
      </c>
    </row>
    <row r="3">
      <c r="A3" s="4" t="inlineStr">
        <is>
          <t>chunk 1</t>
        </is>
      </c>
      <c r="B3" s="2">
        <f>COUNTIF('Engine-FY'!B8,"FAIL")+COUNTIF('Engine-FY'!C8,"FAIL")+COUNTIF('Engine-FY'!D8,"FAIL")+COUNTIF('Engine-FY'!B10,"FAIL")+COUNTIF('Engine-FY'!C10,"FAIL")+COUNTIF('Engine-FY'!D10,"FAIL")+COUNTIF('Engine-FY'!B26,"FAIL")+COUNTIF('Engine-FY'!C26,"FAIL")+COUNTIF('Engine-FY'!D26,"FAIL")+COUNTIF('Engine-FY'!B40,"FAIL")+COUNTIF('Engine-FY'!C40,"FAIL")+COUNTIF('Engine-FY'!D40,"FAIL")+COUNTIF('Engine-FY'!B44,"FAIL")+COUNTIF('Engine-FY'!C44,"FAIL")+COUNTIF('Engine-FY'!D44,"FAIL")+COUNTIF('Engine-FY'!B47,"FAIL")+COUNTIF('Engine-FY'!C47,"FAIL")+COUNTIF('Engine-FY'!D47,"FAIL")+COUNTIF('Engine-FY'!B50,"FAIL")+COUNTIF('Engine-FY'!C50,"FAIL")+COUNTIF('Engine-FY'!D50,"FAIL")+COUNTIF('Engine-FY'!B64,"FAIL")+COUNTIF('Engine-FY'!C64,"FAIL")+COUNTIF('Engine-FY'!D64,"FAIL")+COUNTIF('Engine-FY'!B76,"FAIL")+COUNTIF('Engine-FY'!C76,"FAIL")+COUNTIF('Engine-FY'!D76,"FAIL")</f>
        <v/>
      </c>
    </row>
    <row r="4">
      <c r="A4" s="4" t="inlineStr">
        <is>
          <t>chunk 2</t>
        </is>
      </c>
      <c r="B4" s="2">
        <f>COUNTIF('Engine-FY'!B77,"FAIL")+COUNTIF('Engine-FY'!C77,"FAIL")+COUNTIF('Engine-FY'!D77,"FAIL")+COUNTIF('Engine-FY'!B83,"FAIL")+COUNTIF('Engine-FY'!C83,"FAIL")+COUNTIF('Engine-FY'!D83,"FAIL")</f>
        <v/>
      </c>
    </row>
    <row r="6">
      <c r="A6" s="4" t="inlineStr">
        <is>
          <t>33 check cells tracked. Aspida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2026-07-22T21:27:36Z</dcterms:created>
  <dcterms:modified xsi:type="dcterms:W3CDTF">2026-07-22T21:27:36Z</dcterms:modified>
</cp:coreProperties>
</file>