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gine-FY" sheetId="2" state="visible" r:id="rId2"/>
    <sheet name="Engine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&quot;%&quot;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1"/>
    </font>
    <font>
      <name val="Arial"/>
      <color rgb="000000FF"/>
      <sz val="10"/>
    </font>
    <font>
      <name val="Arial"/>
      <color rgb="00666666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Brookfield Wealth Solutions (BNT) — quarterly + annual engine</t>
        </is>
      </c>
    </row>
    <row r="2">
      <c r="A2" s="2" t="inlineStr"/>
    </row>
    <row r="3">
      <c r="A3" s="2" t="inlineStr">
        <is>
          <t>Units: US$ millions as printed. Blue = value as printed in the source; black bold = live formula;</t>
        </is>
      </c>
    </row>
    <row r="4">
      <c r="A4" s="2" t="inlineStr">
        <is>
          <t>CHECK rows verify identities cell-by-cell (OK / FAIL / n/a where a period is not published).</t>
        </is>
      </c>
    </row>
    <row r="5">
      <c r="A5" s="2" t="inlineStr">
        <is>
          <t>Checks tab = master count of failing checks (must read 0).</t>
        </is>
      </c>
    </row>
    <row r="6">
      <c r="A6" s="2" t="inlineStr"/>
    </row>
    <row r="7">
      <c r="A7" s="2" t="inlineStr">
        <is>
          <t>Sources: BNT 20-F FY2025 (three-year statements; FY2023 face balance sheet not printed — cells blank,</t>
        </is>
      </c>
    </row>
    <row r="8">
      <c r="A8" s="2" t="inlineStr">
        <is>
          <t>boundary logged) · BWS supplementals Q4-2025 + Q1-2026 (quarterly series began 1Q25; 4Q24 comparative).</t>
        </is>
      </c>
    </row>
    <row r="9">
      <c r="A9" s="2" t="inlineStr">
        <is>
          <t>All documents sha-tracked in acquisition/manifest.csv; extraction in extract/cross-section/bnt_engine_raw.csv</t>
        </is>
      </c>
    </row>
    <row r="10">
      <c r="A10" s="2" t="inlineStr">
        <is>
          <t>(481 rows, anchor-quoted). Regenerate: python3 tools/build_platform_engines.py bnt</t>
        </is>
      </c>
    </row>
    <row r="11">
      <c r="A11" s="2" t="inlineStr"/>
    </row>
    <row r="12">
      <c r="A12" s="2" t="inlineStr">
        <is>
          <t>Boundary: no quarterly series exists before 1Q25 (BNT is a foreign private issuer, 20-F/6-K cadence).</t>
        </is>
      </c>
    </row>
    <row r="13">
      <c r="A13" s="2" t="inlineStr">
        <is>
          <t>The BN/BNT merger (approved 2026-07-16) is expected to end standalone reporting.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</cols>
  <sheetData>
    <row r="1">
      <c r="A1" s="2" t="inlineStr"/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</row>
    <row r="3">
      <c r="A3" s="1" t="inlineStr">
        <is>
          <t>① MONEY IN — annuity sales and net premiums (US$ millions)</t>
        </is>
      </c>
    </row>
    <row r="4">
      <c r="A4" s="2" t="inlineStr">
        <is>
          <t xml:space="preserve">    Retail annuity sales — fixed index</t>
        </is>
      </c>
      <c r="B4" s="3" t="n">
        <v>2206</v>
      </c>
      <c r="C4" s="3" t="n">
        <v>5522</v>
      </c>
      <c r="D4" s="3" t="n">
        <v>9032</v>
      </c>
    </row>
    <row r="5">
      <c r="A5" s="2" t="inlineStr">
        <is>
          <t xml:space="preserve">    Retail annuity sales — fixed rate</t>
        </is>
      </c>
      <c r="B5" s="3" t="n">
        <v>3938</v>
      </c>
      <c r="C5" s="3" t="n">
        <v>5132</v>
      </c>
      <c r="D5" s="3" t="n">
        <v>6236</v>
      </c>
    </row>
    <row r="6">
      <c r="A6" s="2" t="inlineStr">
        <is>
          <t xml:space="preserve">    Retail annuity sales — variable/other</t>
        </is>
      </c>
      <c r="B6" s="3" t="n">
        <v>63</v>
      </c>
      <c r="C6" s="3" t="n">
        <v>372</v>
      </c>
      <c r="D6" s="3" t="n">
        <v>393</v>
      </c>
    </row>
    <row r="7">
      <c r="A7" s="2" t="inlineStr">
        <is>
          <t>Retail annuity sales (printed)</t>
        </is>
      </c>
      <c r="B7" s="3" t="n">
        <v>6207</v>
      </c>
      <c r="C7" s="3" t="n">
        <v>11026</v>
      </c>
      <c r="D7" s="3" t="n">
        <v>15661</v>
      </c>
    </row>
    <row r="8">
      <c r="A8" s="4" t="inlineStr">
        <is>
          <t>CHECK: retail sales foot</t>
        </is>
      </c>
      <c r="B8" s="4">
        <f>IF(OR(B4+B5+B6="",B7=""),"n/a",IF(ABS(B4+B5+B6-B7)&lt;=2,"OK","FAIL"))</f>
        <v/>
      </c>
      <c r="C8" s="4">
        <f>IF(OR(C4+C5+C6="",C7=""),"n/a",IF(ABS(C4+C5+C6-C7)&lt;=2,"OK","FAIL"))</f>
        <v/>
      </c>
      <c r="D8" s="4">
        <f>IF(OR(D4+D5+D6="",D7=""),"n/a",IF(ABS(D4+D5+D6-D7)&lt;=2,"OK","FAIL"))</f>
        <v/>
      </c>
    </row>
    <row r="9">
      <c r="A9" s="2" t="inlineStr">
        <is>
          <t xml:space="preserve">    Institutional — PRT</t>
        </is>
      </c>
      <c r="B9" s="3" t="n">
        <v>1469</v>
      </c>
      <c r="C9" s="3" t="n">
        <v>4814</v>
      </c>
      <c r="D9" s="3" t="n">
        <v>1879</v>
      </c>
    </row>
    <row r="10">
      <c r="A10" s="2" t="inlineStr">
        <is>
          <t xml:space="preserve">    Institutional — funding agreements</t>
        </is>
      </c>
      <c r="B10" s="3" t="n">
        <v>0</v>
      </c>
      <c r="C10" s="3" t="n">
        <v>0</v>
      </c>
      <c r="D10" s="3" t="n">
        <v>2289</v>
      </c>
    </row>
    <row r="11">
      <c r="A11" s="2" t="inlineStr">
        <is>
          <t>Institutional annuity sales (printed)</t>
        </is>
      </c>
      <c r="B11" s="3" t="n">
        <v>1469</v>
      </c>
      <c r="C11" s="3" t="n">
        <v>4814</v>
      </c>
      <c r="D11" s="3" t="n">
        <v>4168</v>
      </c>
    </row>
    <row r="12">
      <c r="A12" s="4" t="inlineStr">
        <is>
          <t>CHECK: institutional sales foot</t>
        </is>
      </c>
      <c r="B12" s="4">
        <f>IF(OR(B9+B10="",B11=""),"n/a",IF(ABS(B9+B10-B11)&lt;=2,"OK","FAIL"))</f>
        <v/>
      </c>
      <c r="C12" s="4">
        <f>IF(OR(C9+C10="",C11=""),"n/a",IF(ABS(C9+C10-C11)&lt;=2,"OK","FAIL"))</f>
        <v/>
      </c>
      <c r="D12" s="4">
        <f>IF(OR(D9+D10="",D11=""),"n/a",IF(ABS(D9+D10-D11)&lt;=2,"OK","FAIL"))</f>
        <v/>
      </c>
    </row>
    <row r="13">
      <c r="A13" s="2" t="inlineStr">
        <is>
          <t>TOTAL GROSS ANNUITY SALES (printed)</t>
        </is>
      </c>
      <c r="B13" s="3" t="n">
        <v>7676</v>
      </c>
      <c r="C13" s="3" t="n">
        <v>15840</v>
      </c>
      <c r="D13" s="3" t="n">
        <v>19829</v>
      </c>
    </row>
    <row r="14">
      <c r="A14" s="4" t="inlineStr">
        <is>
          <t>CHECK: retail + institutional = total sales</t>
        </is>
      </c>
      <c r="B14" s="4">
        <f>IF(OR(B7+B11="",B13=""),"n/a",IF(ABS(B7+B11-B13)&lt;=2,"OK","FAIL"))</f>
        <v/>
      </c>
      <c r="C14" s="4">
        <f>IF(OR(C7+C11="",C13=""),"n/a",IF(ABS(C7+C11-C13)&lt;=2,"OK","FAIL"))</f>
        <v/>
      </c>
      <c r="D14" s="4">
        <f>IF(OR(D7+D11="",D13=""),"n/a",IF(ABS(D7+D11-D13)&lt;=2,"OK","FAIL"))</f>
        <v/>
      </c>
    </row>
    <row r="15">
      <c r="A15" s="2" t="inlineStr">
        <is>
          <t xml:space="preserve">    Net premiums — annuities</t>
        </is>
      </c>
      <c r="B15" s="3" t="n">
        <v>1469</v>
      </c>
      <c r="C15" s="3" t="n">
        <v>4813</v>
      </c>
      <c r="D15" s="3" t="n">
        <v>1714</v>
      </c>
    </row>
    <row r="16">
      <c r="A16" s="2" t="inlineStr">
        <is>
          <t xml:space="preserve">    Net premiums — P&amp;C</t>
        </is>
      </c>
      <c r="B16" s="3" t="n">
        <v>2148</v>
      </c>
      <c r="C16" s="3" t="n">
        <v>2943</v>
      </c>
      <c r="D16" s="3" t="n">
        <v>2396</v>
      </c>
    </row>
    <row r="17">
      <c r="A17" s="2" t="inlineStr">
        <is>
          <t xml:space="preserve">    Net premiums — whole life &amp; others</t>
        </is>
      </c>
      <c r="B17" s="3" t="n">
        <v>520</v>
      </c>
      <c r="C17" s="3" t="n">
        <v>511</v>
      </c>
      <c r="D17" s="3" t="n">
        <v>377</v>
      </c>
    </row>
    <row r="18">
      <c r="A18" s="2" t="inlineStr">
        <is>
          <t>NET PREMIUMS (printed)</t>
        </is>
      </c>
      <c r="B18" s="3" t="n">
        <v>4137</v>
      </c>
      <c r="C18" s="3" t="n">
        <v>8267</v>
      </c>
      <c r="D18" s="3" t="n">
        <v>4487</v>
      </c>
    </row>
    <row r="19">
      <c r="A19" s="4" t="inlineStr">
        <is>
          <t>CHECK: net premiums by product foot</t>
        </is>
      </c>
      <c r="B19" s="4">
        <f>IF(OR(B15+B16+B17="",B18=""),"n/a",IF(ABS(B15+B16+B17-B18)&lt;=2,"OK","FAIL"))</f>
        <v/>
      </c>
      <c r="C19" s="4">
        <f>IF(OR(C15+C16+C17="",C18=""),"n/a",IF(ABS(C15+C16+C17-C18)&lt;=2,"OK","FAIL"))</f>
        <v/>
      </c>
      <c r="D19" s="4">
        <f>IF(OR(D15+D16+D17="",D18=""),"n/a",IF(ABS(D15+D16+D17-D18)&lt;=2,"OK","FAIL"))</f>
        <v/>
      </c>
    </row>
    <row r="20">
      <c r="A20" s="2" t="inlineStr">
        <is>
          <t>Policyholders' account deposits (cash flow)</t>
        </is>
      </c>
      <c r="B20" s="3" t="n">
        <v>4920</v>
      </c>
      <c r="C20" s="3" t="n">
        <v>10865</v>
      </c>
      <c r="D20" s="3" t="n">
        <v>17650</v>
      </c>
    </row>
    <row r="21">
      <c r="A21" s="2" t="inlineStr">
        <is>
          <t>Policyholders' account withdrawals (cash flow)</t>
        </is>
      </c>
      <c r="B21" s="3" t="n">
        <v>-2281</v>
      </c>
      <c r="C21" s="3" t="n">
        <v>-8753</v>
      </c>
      <c r="D21" s="3" t="n">
        <v>-10299</v>
      </c>
    </row>
    <row r="23">
      <c r="A23" s="1" t="inlineStr">
        <is>
          <t>② REVENUES (US GAAP)</t>
        </is>
      </c>
    </row>
    <row r="24">
      <c r="A24" s="2" t="inlineStr">
        <is>
          <t xml:space="preserve">    Net premiums</t>
        </is>
      </c>
      <c r="B24" s="3" t="n">
        <v>4137</v>
      </c>
      <c r="C24" s="3" t="n">
        <v>8267</v>
      </c>
      <c r="D24" s="3" t="n">
        <v>4487</v>
      </c>
    </row>
    <row r="25">
      <c r="A25" s="2" t="inlineStr">
        <is>
          <t xml:space="preserve">    Other policy revenue</t>
        </is>
      </c>
      <c r="B25" s="3" t="n">
        <v>413</v>
      </c>
      <c r="C25" s="3" t="n">
        <v>781</v>
      </c>
      <c r="D25" s="3" t="n">
        <v>790</v>
      </c>
    </row>
    <row r="26">
      <c r="A26" s="2" t="inlineStr">
        <is>
          <t xml:space="preserve">    Net investment income</t>
        </is>
      </c>
      <c r="B26" s="3" t="n">
        <v>1809</v>
      </c>
      <c r="C26" s="3" t="n">
        <v>4264</v>
      </c>
      <c r="D26" s="3" t="n">
        <v>5819</v>
      </c>
    </row>
    <row r="27">
      <c r="A27" s="2" t="inlineStr">
        <is>
          <t xml:space="preserve">    Investment related gains</t>
        </is>
      </c>
      <c r="B27" s="3" t="n">
        <v>425</v>
      </c>
      <c r="C27" s="3" t="n">
        <v>369</v>
      </c>
      <c r="D27" s="3" t="n">
        <v>485</v>
      </c>
    </row>
    <row r="28">
      <c r="A28" s="2" t="inlineStr">
        <is>
          <t xml:space="preserve">    Net investment results — reinsurance funds withheld</t>
        </is>
      </c>
      <c r="B28" s="3" t="n">
        <v>128</v>
      </c>
      <c r="C28" s="3" t="n">
        <v>422</v>
      </c>
      <c r="D28" s="3" t="n">
        <v>54</v>
      </c>
    </row>
    <row r="29">
      <c r="A29" s="2" t="inlineStr">
        <is>
          <t>TOTAL REVENUES (printed)</t>
        </is>
      </c>
      <c r="B29" s="3" t="n">
        <v>6912</v>
      </c>
      <c r="C29" s="3" t="n">
        <v>14103</v>
      </c>
      <c r="D29" s="3" t="n">
        <v>11635</v>
      </c>
    </row>
    <row r="30">
      <c r="A30" s="4" t="inlineStr">
        <is>
          <t>CHECK: revenue lines foot</t>
        </is>
      </c>
      <c r="B30" s="4">
        <f>IF(OR(B24+B25+B26+B27+B28="",B29=""),"n/a",IF(ABS(B24+B25+B26+B27+B28-B29)&lt;=2,"OK","FAIL"))</f>
        <v/>
      </c>
      <c r="C30" s="4">
        <f>IF(OR(C24+C25+C26+C27+C28="",C29=""),"n/a",IF(ABS(C24+C25+C26+C27+C28-C29)&lt;=2,"OK","FAIL"))</f>
        <v/>
      </c>
      <c r="D30" s="4">
        <f>IF(OR(D24+D25+D26+D27+D28="",D29=""),"n/a",IF(ABS(D24+D25+D26+D27+D28-D29)&lt;=2,"OK","FAIL"))</f>
        <v/>
      </c>
    </row>
    <row r="32">
      <c r="A32" s="1" t="inlineStr">
        <is>
          <t>③ BENEFITS AND EXPENSES (stored signed as printed — parentheses negative)</t>
        </is>
      </c>
    </row>
    <row r="33">
      <c r="A33" s="2" t="inlineStr">
        <is>
          <t xml:space="preserve">    Policyholder benefits and claims incurred</t>
        </is>
      </c>
      <c r="B33" s="3" t="n">
        <v>-3939</v>
      </c>
      <c r="C33" s="3" t="n">
        <v>-8162</v>
      </c>
      <c r="D33" s="3" t="n">
        <v>-4489</v>
      </c>
    </row>
    <row r="34">
      <c r="A34" s="2" t="inlineStr">
        <is>
          <t xml:space="preserve">    Interest sensitive contract benefits</t>
        </is>
      </c>
      <c r="B34" s="3" t="n">
        <v>-687</v>
      </c>
      <c r="C34" s="3" t="n">
        <v>-1874</v>
      </c>
      <c r="D34" s="3" t="n">
        <v>-2072</v>
      </c>
    </row>
    <row r="35">
      <c r="A35" s="2" t="inlineStr">
        <is>
          <t xml:space="preserve">    Amortization of DAC / DSI / VOBA</t>
        </is>
      </c>
      <c r="B35" s="3" t="n">
        <v>-632</v>
      </c>
      <c r="C35" s="3" t="n">
        <v>-1237</v>
      </c>
      <c r="D35" s="3" t="n">
        <v>-1418</v>
      </c>
    </row>
    <row r="36">
      <c r="A36" s="2" t="inlineStr">
        <is>
          <t xml:space="preserve">    Operating expenses</t>
        </is>
      </c>
      <c r="B36" s="3" t="n">
        <v>-777</v>
      </c>
      <c r="C36" s="3" t="n">
        <v>-1356</v>
      </c>
      <c r="D36" s="3" t="n">
        <v>-1361</v>
      </c>
    </row>
    <row r="37">
      <c r="A37" s="2" t="inlineStr">
        <is>
          <t xml:space="preserve">    Interest expense</t>
        </is>
      </c>
      <c r="B37" s="3" t="n">
        <v>-249</v>
      </c>
      <c r="C37" s="3" t="n">
        <v>-362</v>
      </c>
      <c r="D37" s="3" t="n">
        <v>-379</v>
      </c>
    </row>
    <row r="38">
      <c r="A38" s="2" t="inlineStr">
        <is>
          <t xml:space="preserve">    Other reinsurance expenses</t>
        </is>
      </c>
      <c r="B38" s="3" t="n">
        <v>-21</v>
      </c>
      <c r="C38" s="3" t="n">
        <v>-26</v>
      </c>
      <c r="D38" s="3" t="n">
        <v>-5</v>
      </c>
    </row>
    <row r="39">
      <c r="A39" s="2" t="inlineStr">
        <is>
          <t xml:space="preserve">    Change in FV — insurance &amp; embedded derivatives</t>
        </is>
      </c>
      <c r="B39" s="3" t="n">
        <v>41</v>
      </c>
      <c r="C39" s="3" t="n">
        <v>234</v>
      </c>
      <c r="D39" s="3" t="n">
        <v>-219</v>
      </c>
    </row>
    <row r="40">
      <c r="A40" s="2" t="inlineStr">
        <is>
          <t xml:space="preserve">    Change in FV — market risk benefits</t>
        </is>
      </c>
      <c r="B40" s="3" t="n">
        <v>166</v>
      </c>
      <c r="C40" s="3" t="n">
        <v>-107</v>
      </c>
      <c r="D40" s="3" t="n">
        <v>-725</v>
      </c>
    </row>
    <row r="41">
      <c r="A41" s="2" t="inlineStr">
        <is>
          <t>TOTAL BENEFITS AND EXPENSES (printed)</t>
        </is>
      </c>
      <c r="B41" s="3" t="n">
        <v>-6098</v>
      </c>
      <c r="C41" s="3" t="n">
        <v>-12890</v>
      </c>
      <c r="D41" s="3" t="n">
        <v>-10668</v>
      </c>
    </row>
    <row r="42">
      <c r="A42" s="4" t="inlineStr">
        <is>
          <t>CHECK: expense lines foot</t>
        </is>
      </c>
      <c r="B42" s="4">
        <f>IF(OR(B33+B34+B35+B36+B37+B38+B39+B40="",B41=""),"n/a",IF(ABS(B33+B34+B35+B36+B37+B38+B39+B40-B41)&lt;=2,"OK","FAIL"))</f>
        <v/>
      </c>
      <c r="C42" s="4">
        <f>IF(OR(C33+C34+C35+C36+C37+C38+C39+C40="",C41=""),"n/a",IF(ABS(C33+C34+C35+C36+C37+C38+C39+C40-C41)&lt;=2,"OK","FAIL"))</f>
        <v/>
      </c>
      <c r="D42" s="4">
        <f>IF(OR(D33+D34+D35+D36+D37+D38+D39+D40="",D41=""),"n/a",IF(ABS(D33+D34+D35+D36+D37+D38+D39+D40-D41)&lt;=2,"OK","FAIL"))</f>
        <v/>
      </c>
    </row>
    <row r="44">
      <c r="A44" s="1" t="inlineStr">
        <is>
          <t>④ NET INCOME</t>
        </is>
      </c>
    </row>
    <row r="45">
      <c r="A45" s="2" t="inlineStr">
        <is>
          <t>Net income before income taxes (printed)</t>
        </is>
      </c>
      <c r="B45" s="3" t="n">
        <v>814</v>
      </c>
      <c r="C45" s="3" t="n">
        <v>1213</v>
      </c>
      <c r="D45" s="3" t="n">
        <v>967</v>
      </c>
    </row>
    <row r="46">
      <c r="A46" s="4" t="inlineStr">
        <is>
          <t>CHECK: revenues + expenses = pretax</t>
        </is>
      </c>
      <c r="B46" s="4">
        <f>IF(OR(B29+B41="",B45=""),"n/a",IF(ABS(B29+B41-B45)&lt;=2,"OK","FAIL"))</f>
        <v/>
      </c>
      <c r="C46" s="4">
        <f>IF(OR(C29+C41="",C45=""),"n/a",IF(ABS(C29+C41-C45)&lt;=2,"OK","FAIL"))</f>
        <v/>
      </c>
      <c r="D46" s="4">
        <f>IF(OR(D29+D41="",D45=""),"n/a",IF(ABS(D29+D41-D45)&lt;=2,"OK","FAIL"))</f>
        <v/>
      </c>
    </row>
    <row r="47">
      <c r="A47" s="2" t="inlineStr">
        <is>
          <t>Income tax recovery (expense)</t>
        </is>
      </c>
      <c r="B47" s="3" t="n">
        <v>-17</v>
      </c>
      <c r="C47" s="3" t="n">
        <v>34</v>
      </c>
      <c r="D47" s="3" t="n">
        <v>-104</v>
      </c>
    </row>
    <row r="48">
      <c r="A48" s="2" t="inlineStr">
        <is>
          <t>NET INCOME (printed)</t>
        </is>
      </c>
      <c r="B48" s="3" t="n">
        <v>797</v>
      </c>
      <c r="C48" s="3" t="n">
        <v>1247</v>
      </c>
      <c r="D48" s="3" t="n">
        <v>863</v>
      </c>
    </row>
    <row r="49">
      <c r="A49" s="4" t="inlineStr">
        <is>
          <t>CHECK: pretax + tax = net income</t>
        </is>
      </c>
      <c r="B49" s="4">
        <f>IF(OR(B45+B47="",B48=""),"n/a",IF(ABS(B45+B47-B48)&lt;=2,"OK","FAIL"))</f>
        <v/>
      </c>
      <c r="C49" s="4">
        <f>IF(OR(C45+C47="",C48=""),"n/a",IF(ABS(C45+C47-C48)&lt;=2,"OK","FAIL"))</f>
        <v/>
      </c>
      <c r="D49" s="4">
        <f>IF(OR(D45+D47="",D48=""),"n/a",IF(ABS(D45+D47-D48)&lt;=2,"OK","FAIL"))</f>
        <v/>
      </c>
    </row>
    <row r="50">
      <c r="A50" s="2" t="inlineStr">
        <is>
          <t xml:space="preserve">      attributable to Class A/B shareholders</t>
        </is>
      </c>
      <c r="B50" s="3" t="n">
        <v>5</v>
      </c>
      <c r="C50" s="3" t="n">
        <v>14</v>
      </c>
      <c r="D50" s="3" t="n">
        <v>16</v>
      </c>
    </row>
    <row r="51">
      <c r="A51" s="2" t="inlineStr">
        <is>
          <t xml:space="preserve">      attributable to Class C shareholder</t>
        </is>
      </c>
      <c r="B51" s="3" t="n">
        <v>791</v>
      </c>
      <c r="C51" s="3" t="n">
        <v>1200</v>
      </c>
      <c r="D51" s="3" t="n">
        <v>750</v>
      </c>
    </row>
    <row r="52">
      <c r="A52" s="2" t="inlineStr">
        <is>
          <t xml:space="preserve">      attributable to NCI</t>
        </is>
      </c>
      <c r="B52" s="3" t="n">
        <v>1</v>
      </c>
      <c r="C52" s="3" t="n">
        <v>33</v>
      </c>
      <c r="D52" s="3" t="n">
        <v>97</v>
      </c>
    </row>
    <row r="53">
      <c r="A53" s="4" t="inlineStr">
        <is>
          <t>CHECK: attribution foots</t>
        </is>
      </c>
      <c r="B53" s="4">
        <f>IF(OR(B50+B51+B52="",B48=""),"n/a",IF(ABS(B50+B51+B52-B48)&lt;=2,"OK","FAIL"))</f>
        <v/>
      </c>
      <c r="C53" s="4">
        <f>IF(OR(C50+C51+C52="",C48=""),"n/a",IF(ABS(C50+C51+C52-C48)&lt;=2,"OK","FAIL"))</f>
        <v/>
      </c>
      <c r="D53" s="4">
        <f>IF(OR(D50+D51+D52="",D48=""),"n/a",IF(ABS(D50+D51+D52-D48)&lt;=2,"OK","FAIL"))</f>
        <v/>
      </c>
    </row>
    <row r="54">
      <c r="A54" s="2" t="inlineStr">
        <is>
          <t>Net income attributable to shareholders (MD&amp;A)</t>
        </is>
      </c>
      <c r="B54" s="3" t="n">
        <v>796</v>
      </c>
      <c r="C54" s="3" t="n">
        <v>1214</v>
      </c>
      <c r="D54" s="3" t="n">
        <v>766</v>
      </c>
    </row>
    <row r="56">
      <c r="A56" s="1" t="inlineStr">
        <is>
          <t>⑤ DISTRIBUTABLE OPERATING EARNINGS — BNT's SRE analog (non-GAAP, printed reconciliation)</t>
        </is>
      </c>
    </row>
    <row r="57">
      <c r="A57" s="2" t="inlineStr">
        <is>
          <t xml:space="preserve">      add back: MTM on investments incl funds withheld</t>
        </is>
      </c>
      <c r="B57" s="3" t="n">
        <v>-36</v>
      </c>
      <c r="C57" s="3" t="n">
        <v>-283</v>
      </c>
      <c r="D57" s="3" t="n">
        <v>51</v>
      </c>
    </row>
    <row r="58">
      <c r="A58" s="2" t="inlineStr">
        <is>
          <t xml:space="preserve">      add back: MTM on insurance contracts</t>
        </is>
      </c>
      <c r="B58" s="3" t="n">
        <v>-100</v>
      </c>
      <c r="C58" s="3" t="n">
        <v>257</v>
      </c>
      <c r="D58" s="3" t="n">
        <v>717</v>
      </c>
    </row>
    <row r="59">
      <c r="A59" s="2" t="inlineStr">
        <is>
          <t xml:space="preserve">      add back: deferred tax / basis changes</t>
        </is>
      </c>
      <c r="B59" s="3" t="n">
        <v>14</v>
      </c>
      <c r="C59" s="3" t="n">
        <v>-195</v>
      </c>
      <c r="D59" s="3" t="n">
        <v>-269</v>
      </c>
    </row>
    <row r="60">
      <c r="A60" s="2" t="inlineStr">
        <is>
          <t xml:space="preserve">      add back: depreciation &amp; amortization</t>
        </is>
      </c>
      <c r="B60" s="3" t="n">
        <v>30</v>
      </c>
      <c r="C60" s="3" t="n">
        <v>135</v>
      </c>
      <c r="D60" s="3" t="n">
        <v>233</v>
      </c>
    </row>
    <row r="61">
      <c r="A61" s="2" t="inlineStr">
        <is>
          <t xml:space="preserve">      add back: transaction costs</t>
        </is>
      </c>
      <c r="B61" s="3" t="n">
        <v>40</v>
      </c>
      <c r="C61" s="3" t="n">
        <v>213</v>
      </c>
      <c r="D61" s="3" t="n">
        <v>104</v>
      </c>
    </row>
    <row r="62">
      <c r="A62" s="2" t="inlineStr">
        <is>
          <t>DISTRIBUTABLE OPERATING EARNINGS (printed)</t>
        </is>
      </c>
      <c r="B62" s="3" t="n">
        <v>745</v>
      </c>
      <c r="C62" s="3" t="n">
        <v>1374</v>
      </c>
      <c r="D62" s="3" t="n">
        <v>1699</v>
      </c>
    </row>
    <row r="63">
      <c r="A63" s="4" t="inlineStr">
        <is>
          <t>CHECK: NI + add-backs = DOE</t>
        </is>
      </c>
      <c r="B63" s="4">
        <f>IF(OR(B48+B57+B58+B59+B60+B61="",B62=""),"n/a",IF(ABS(B48+B57+B58+B59+B60+B61-B62)&lt;=2,"OK","FAIL"))</f>
        <v/>
      </c>
      <c r="C63" s="4">
        <f>IF(OR(C48+C57+C58+C59+C60+C61="",C62=""),"n/a",IF(ABS(C48+C57+C58+C59+C60+C61-C62)&lt;=2,"OK","FAIL"))</f>
        <v/>
      </c>
      <c r="D63" s="4">
        <f>IF(OR(D48+D57+D58+D59+D60+D61="",D62=""),"n/a",IF(ABS(D48+D57+D58+D59+D60+D61-D62)&lt;=2,"OK","FAIL"))</f>
        <v/>
      </c>
    </row>
    <row r="64">
      <c r="A64" s="2" t="inlineStr">
        <is>
          <t xml:space="preserve">      DOE — annuities</t>
        </is>
      </c>
      <c r="B64" s="3" t="n">
        <v>595</v>
      </c>
      <c r="C64" s="3" t="n">
        <v>1220</v>
      </c>
      <c r="D64" s="3" t="n">
        <v>1663</v>
      </c>
    </row>
    <row r="65">
      <c r="A65" s="2" t="inlineStr">
        <is>
          <t xml:space="preserve">      DOE — P&amp;C</t>
        </is>
      </c>
      <c r="B65" s="3" t="n">
        <v>84</v>
      </c>
      <c r="C65" s="3" t="n">
        <v>263</v>
      </c>
      <c r="D65" s="3" t="n">
        <v>399</v>
      </c>
    </row>
    <row r="66">
      <c r="A66" s="2" t="inlineStr">
        <is>
          <t xml:space="preserve">      DOE — life insurance</t>
        </is>
      </c>
      <c r="B66" s="3" t="n">
        <v>198</v>
      </c>
      <c r="C66" s="3" t="n">
        <v>194</v>
      </c>
      <c r="D66" s="3" t="n">
        <v>153</v>
      </c>
    </row>
    <row r="67">
      <c r="A67" s="2" t="inlineStr">
        <is>
          <t xml:space="preserve">      DOE — corporate &amp; other</t>
        </is>
      </c>
      <c r="B67" s="3" t="n">
        <v>-132</v>
      </c>
      <c r="C67" s="3" t="n">
        <v>-303</v>
      </c>
      <c r="D67" s="3" t="n">
        <v>-516</v>
      </c>
    </row>
    <row r="68">
      <c r="A68" s="4" t="inlineStr">
        <is>
          <t>CHECK: segment DOE foots</t>
        </is>
      </c>
      <c r="B68" s="4">
        <f>IF(OR(B64+B65+B66+B67="",B62=""),"n/a",IF(ABS(B64+B65+B66+B67-B62)&lt;=2,"OK","FAIL"))</f>
        <v/>
      </c>
      <c r="C68" s="4">
        <f>IF(OR(C64+C65+C66+C67="",C62=""),"n/a",IF(ABS(C64+C65+C66+C67-C62)&lt;=2,"OK","FAIL"))</f>
        <v/>
      </c>
      <c r="D68" s="4">
        <f>IF(OR(D64+D65+D66+D67="",D62=""),"n/a",IF(ABS(D64+D65+D66+D67-D62)&lt;=2,"OK","FAIL"))</f>
        <v/>
      </c>
    </row>
    <row r="70">
      <c r="A70" s="1" t="inlineStr">
        <is>
          <t>⑥ STOCKS — balance sheet (FY2023 face balance sheet not printed in the 20-F: cells blank)</t>
        </is>
      </c>
    </row>
    <row r="71">
      <c r="A71" s="2" t="inlineStr">
        <is>
          <t>Total assets</t>
        </is>
      </c>
      <c r="B71" s="3" t="n">
        <v>61643</v>
      </c>
      <c r="C71" s="3" t="n">
        <v>139953</v>
      </c>
      <c r="D71" s="3" t="n">
        <v>157181</v>
      </c>
    </row>
    <row r="72">
      <c r="A72" s="2" t="inlineStr">
        <is>
          <t xml:space="preserve">      total investments</t>
        </is>
      </c>
      <c r="B72" s="3" t="n"/>
      <c r="C72" s="3" t="n">
        <v>92966</v>
      </c>
      <c r="D72" s="3" t="n">
        <v>110044</v>
      </c>
    </row>
    <row r="73">
      <c r="A73" s="2" t="inlineStr">
        <is>
          <t xml:space="preserve">    Policyholders' account balances</t>
        </is>
      </c>
      <c r="B73" s="3" t="n"/>
      <c r="C73" s="3" t="n">
        <v>83079</v>
      </c>
      <c r="D73" s="3" t="n">
        <v>92992</v>
      </c>
    </row>
    <row r="74">
      <c r="A74" s="2" t="inlineStr">
        <is>
          <t xml:space="preserve">    Future policy benefits</t>
        </is>
      </c>
      <c r="B74" s="3" t="n"/>
      <c r="C74" s="3" t="n">
        <v>14088</v>
      </c>
      <c r="D74" s="3" t="n">
        <v>16249</v>
      </c>
    </row>
    <row r="75">
      <c r="A75" s="2" t="inlineStr">
        <is>
          <t xml:space="preserve">    Policy and contract claims</t>
        </is>
      </c>
      <c r="B75" s="3" t="n"/>
      <c r="C75" s="3" t="n">
        <v>7659</v>
      </c>
      <c r="D75" s="3" t="n">
        <v>7277</v>
      </c>
    </row>
    <row r="76">
      <c r="A76" s="2" t="inlineStr">
        <is>
          <t xml:space="preserve">    Market risk benefits liability</t>
        </is>
      </c>
      <c r="B76" s="3" t="n"/>
      <c r="C76" s="3" t="n">
        <v>3655</v>
      </c>
      <c r="D76" s="3" t="n">
        <v>4536</v>
      </c>
    </row>
    <row r="77">
      <c r="A77" s="2" t="inlineStr">
        <is>
          <t xml:space="preserve">    Deposit liabilities</t>
        </is>
      </c>
      <c r="B77" s="3" t="n"/>
      <c r="C77" s="3" t="n">
        <v>1502</v>
      </c>
      <c r="D77" s="3" t="n">
        <v>1419</v>
      </c>
    </row>
    <row r="78">
      <c r="A78" s="2" t="inlineStr">
        <is>
          <t xml:space="preserve">    Funds withheld for reinsurance liabilities</t>
        </is>
      </c>
      <c r="B78" s="3" t="n"/>
      <c r="C78" s="3" t="n">
        <v>3392</v>
      </c>
      <c r="D78" s="3" t="n">
        <v>3157</v>
      </c>
    </row>
    <row r="79">
      <c r="A79" s="2" t="inlineStr">
        <is>
          <t xml:space="preserve">    Separate account liabilities</t>
        </is>
      </c>
      <c r="B79" s="3" t="n"/>
      <c r="C79" s="3" t="n">
        <v>1343</v>
      </c>
      <c r="D79" s="3" t="n">
        <v>822</v>
      </c>
    </row>
    <row r="80">
      <c r="A80" s="2" t="inlineStr">
        <is>
          <t xml:space="preserve">    Unearned premium reserve</t>
        </is>
      </c>
      <c r="B80" s="3" t="n"/>
      <c r="C80" s="3" t="n">
        <v>1843</v>
      </c>
      <c r="D80" s="3" t="n">
        <v>1272</v>
      </c>
    </row>
    <row r="81">
      <c r="A81" s="2" t="inlineStr">
        <is>
          <t>Total liabilities</t>
        </is>
      </c>
      <c r="B81" s="3" t="n"/>
      <c r="C81" s="3" t="n">
        <v>126877</v>
      </c>
      <c r="D81" s="3" t="n">
        <v>139264</v>
      </c>
    </row>
    <row r="82">
      <c r="A82" s="2" t="inlineStr">
        <is>
          <t>Total equity</t>
        </is>
      </c>
      <c r="B82" s="3" t="n">
        <v>6155</v>
      </c>
      <c r="C82" s="3" t="n">
        <v>13076</v>
      </c>
      <c r="D82" s="3" t="n">
        <v>17917</v>
      </c>
    </row>
    <row r="83">
      <c r="A83" s="4" t="inlineStr">
        <is>
          <t>CHECK: A = L + E</t>
        </is>
      </c>
      <c r="B83" s="4">
        <f>IF(OR(B81+B82="",B71=""),"n/a",IF(ABS(B81+B82-B71)&lt;=2,"OK","FAIL"))</f>
        <v/>
      </c>
      <c r="C83" s="4">
        <f>IF(OR(C81+C82="",C71=""),"n/a",IF(ABS(C81+C82-C71)&lt;=2,"OK","FAIL"))</f>
        <v/>
      </c>
      <c r="D83" s="4">
        <f>IF(OR(D81+D82="",D71=""),"n/a",IF(ABS(D81+D82-D71)&lt;=2,"OK","FAIL"))</f>
        <v/>
      </c>
    </row>
    <row r="84">
      <c r="A84" s="2" t="inlineStr">
        <is>
          <t xml:space="preserve">      of which non-controlling interests</t>
        </is>
      </c>
      <c r="B84" s="3" t="n">
        <v>146</v>
      </c>
      <c r="C84" s="3" t="n">
        <v>850</v>
      </c>
      <c r="D84" s="3" t="n">
        <v>331</v>
      </c>
    </row>
    <row r="85">
      <c r="A85" s="2" t="inlineStr">
        <is>
          <t>Adjusted equity (non-GAAP, printed)</t>
        </is>
      </c>
      <c r="B85" s="3" t="n">
        <v>8671</v>
      </c>
      <c r="C85" s="3" t="n">
        <v>11760</v>
      </c>
      <c r="D85" s="3" t="n">
        <v>16837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/>
      <c r="B1" s="1" t="inlineStr">
        <is>
          <t>4Q24</t>
        </is>
      </c>
      <c r="C1" s="1" t="inlineStr">
        <is>
          <t>1Q25</t>
        </is>
      </c>
      <c r="D1" s="1" t="inlineStr">
        <is>
          <t>2Q25</t>
        </is>
      </c>
      <c r="E1" s="1" t="inlineStr">
        <is>
          <t>3Q25</t>
        </is>
      </c>
      <c r="F1" s="1" t="inlineStr">
        <is>
          <t>4Q25</t>
        </is>
      </c>
      <c r="G1" s="1" t="inlineStr">
        <is>
          <t>1Q26</t>
        </is>
      </c>
    </row>
    <row r="3">
      <c r="A3" s="1" t="inlineStr">
        <is>
          <t>① THE SPREAD ENGINE — DOE basis (US$ millions)</t>
        </is>
      </c>
    </row>
    <row r="4">
      <c r="A4" s="2" t="inlineStr">
        <is>
          <t>DOE net investment income</t>
        </is>
      </c>
      <c r="B4" s="3" t="n">
        <v>1457</v>
      </c>
      <c r="C4" s="3" t="n">
        <v>1546</v>
      </c>
      <c r="D4" s="3" t="n">
        <v>1582</v>
      </c>
      <c r="E4" s="3" t="n">
        <v>1610</v>
      </c>
      <c r="F4" s="3" t="n">
        <v>1680</v>
      </c>
      <c r="G4" s="3" t="n">
        <v>1686</v>
      </c>
    </row>
    <row r="5">
      <c r="A5" s="2" t="inlineStr">
        <is>
          <t>DOE cost of funds</t>
        </is>
      </c>
      <c r="B5" s="3" t="n">
        <v>-827</v>
      </c>
      <c r="C5" s="3" t="n">
        <v>-904</v>
      </c>
      <c r="D5" s="3" t="n">
        <v>-996</v>
      </c>
      <c r="E5" s="3" t="n">
        <v>-987</v>
      </c>
      <c r="F5" s="3" t="n">
        <v>-1002</v>
      </c>
      <c r="G5" s="3" t="n">
        <v>-1028</v>
      </c>
    </row>
    <row r="6">
      <c r="A6" s="2" t="inlineStr">
        <is>
          <t>GROSS SPREAD (printed)</t>
        </is>
      </c>
      <c r="B6" s="3" t="n">
        <v>630</v>
      </c>
      <c r="C6" s="3" t="n">
        <v>642</v>
      </c>
      <c r="D6" s="3" t="n">
        <v>586</v>
      </c>
      <c r="E6" s="3" t="n">
        <v>623</v>
      </c>
      <c r="F6" s="3" t="n">
        <v>678</v>
      </c>
      <c r="G6" s="3" t="n">
        <v>658</v>
      </c>
    </row>
    <row r="7">
      <c r="A7" s="4" t="inlineStr">
        <is>
          <t>CHECK: NII + cost of funds = gross spread</t>
        </is>
      </c>
      <c r="B7" s="4">
        <f>IF(OR(B4+B5="",B6=""),"n/a",IF(ABS(B4+B5-B6)&lt;=2,"OK","FAIL"))</f>
        <v/>
      </c>
      <c r="C7" s="4">
        <f>IF(OR(C4+C5="",C6=""),"n/a",IF(ABS(C4+C5-C6)&lt;=2,"OK","FAIL"))</f>
        <v/>
      </c>
      <c r="D7" s="4">
        <f>IF(OR(D4+D5="",D6=""),"n/a",IF(ABS(D4+D5-D6)&lt;=2,"OK","FAIL"))</f>
        <v/>
      </c>
      <c r="E7" s="4">
        <f>IF(OR(E4+E5="",E6=""),"n/a",IF(ABS(E4+E5-E6)&lt;=2,"OK","FAIL"))</f>
        <v/>
      </c>
      <c r="F7" s="4">
        <f>IF(OR(F4+F5="",F6=""),"n/a",IF(ABS(F4+F5-F6)&lt;=2,"OK","FAIL"))</f>
        <v/>
      </c>
      <c r="G7" s="4">
        <f>IF(OR(G4+G5="",G6=""),"n/a",IF(ABS(G4+G5-G6)&lt;=2,"OK","FAIL"))</f>
        <v/>
      </c>
    </row>
    <row r="8">
      <c r="A8" s="2" t="inlineStr">
        <is>
          <t xml:space="preserve">      interest expense</t>
        </is>
      </c>
      <c r="B8" s="3" t="n">
        <v>-96</v>
      </c>
      <c r="C8" s="3" t="n">
        <v>-80</v>
      </c>
      <c r="D8" s="3" t="n">
        <v>-82</v>
      </c>
      <c r="E8" s="3" t="n">
        <v>-90</v>
      </c>
      <c r="F8" s="3" t="n">
        <v>-92</v>
      </c>
      <c r="G8" s="3" t="n">
        <v>-92</v>
      </c>
    </row>
    <row r="9">
      <c r="A9" s="2" t="inlineStr">
        <is>
          <t xml:space="preserve">      operating expenses and other</t>
        </is>
      </c>
      <c r="B9" s="3" t="n">
        <v>-107</v>
      </c>
      <c r="C9" s="3" t="n">
        <v>-125</v>
      </c>
      <c r="D9" s="3" t="n">
        <v>-106</v>
      </c>
      <c r="E9" s="3" t="n">
        <v>-106</v>
      </c>
      <c r="F9" s="3" t="n">
        <v>-149</v>
      </c>
      <c r="G9" s="3" t="n">
        <v>-128</v>
      </c>
    </row>
    <row r="10">
      <c r="A10" s="2" t="inlineStr">
        <is>
          <t>DISTRIBUTABLE OPERATING EARNINGS</t>
        </is>
      </c>
      <c r="B10" s="3" t="n">
        <v>427</v>
      </c>
      <c r="C10" s="3" t="n">
        <v>437</v>
      </c>
      <c r="D10" s="3" t="n">
        <v>398</v>
      </c>
      <c r="E10" s="3" t="n">
        <v>427</v>
      </c>
      <c r="F10" s="3" t="n">
        <v>437</v>
      </c>
      <c r="G10" s="3" t="n">
        <v>438</v>
      </c>
    </row>
    <row r="11">
      <c r="A11" s="4" t="inlineStr">
        <is>
          <t>CHECK: gross spread − interest − opex&amp;other = DOE</t>
        </is>
      </c>
      <c r="B11" s="4">
        <f>IF(OR(B6+B8+B9="",B10=""),"n/a",IF(ABS(B6+B8+B9-B10)&lt;=2,"OK","FAIL"))</f>
        <v/>
      </c>
      <c r="C11" s="4">
        <f>IF(OR(C6+C8+C9="",C10=""),"n/a",IF(ABS(C6+C8+C9-C10)&lt;=2,"OK","FAIL"))</f>
        <v/>
      </c>
      <c r="D11" s="4">
        <f>IF(OR(D6+D8+D9="",D10=""),"n/a",IF(ABS(D6+D8+D9-D10)&lt;=2,"OK","FAIL"))</f>
        <v/>
      </c>
      <c r="E11" s="4">
        <f>IF(OR(E6+E8+E9="",E10=""),"n/a",IF(ABS(E6+E8+E9-E10)&lt;=2,"OK","FAIL"))</f>
        <v/>
      </c>
      <c r="F11" s="4">
        <f>IF(OR(F6+F8+F9="",F10=""),"n/a",IF(ABS(F6+F8+F9-F10)&lt;=2,"OK","FAIL"))</f>
        <v/>
      </c>
      <c r="G11" s="4">
        <f>IF(OR(G6+G8+G9="",G10=""),"n/a",IF(ABS(G6+G8+G9-G10)&lt;=2,"OK","FAIL"))</f>
        <v/>
      </c>
    </row>
    <row r="12">
      <c r="A12" s="2" t="inlineStr">
        <is>
          <t xml:space="preserve">      income tax (segment-pretax view)</t>
        </is>
      </c>
      <c r="B12" s="3" t="n">
        <v>-89</v>
      </c>
      <c r="C12" s="3" t="n">
        <v>-96</v>
      </c>
      <c r="D12" s="3" t="n">
        <v>-87</v>
      </c>
      <c r="E12" s="3" t="n">
        <v>-94</v>
      </c>
      <c r="F12" s="3" t="n">
        <v>-96</v>
      </c>
      <c r="G12" s="3" t="n">
        <v>-96</v>
      </c>
    </row>
    <row r="13">
      <c r="A13" s="2" t="inlineStr">
        <is>
          <t>GAAP NET INCOME (LOSS)</t>
        </is>
      </c>
      <c r="B13" s="3" t="n">
        <v>576</v>
      </c>
      <c r="C13" s="3" t="n">
        <v>-282</v>
      </c>
      <c r="D13" s="3" t="n">
        <v>516</v>
      </c>
      <c r="E13" s="3" t="n">
        <v>608</v>
      </c>
      <c r="F13" s="3" t="n">
        <v>21</v>
      </c>
      <c r="G13" s="3" t="n">
        <v>-602</v>
      </c>
    </row>
    <row r="14">
      <c r="A14" s="4" t="inlineStr">
        <is>
          <t>GAAP vs DOE divergence: 1Q25 −282 vs +437 · 1Q26 −602 vs +438 — the sector pattern, quarterly.</t>
        </is>
      </c>
    </row>
    <row r="15">
      <c r="A15" s="2" t="inlineStr">
        <is>
          <t xml:space="preserve">      pretax DOE — annuities</t>
        </is>
      </c>
      <c r="B15" s="3" t="n">
        <v>416</v>
      </c>
      <c r="C15" s="3" t="n">
        <v>422</v>
      </c>
      <c r="D15" s="3" t="n">
        <v>410</v>
      </c>
      <c r="E15" s="3" t="n">
        <v>399</v>
      </c>
      <c r="F15" s="3" t="n">
        <v>432</v>
      </c>
      <c r="G15" s="3" t="n">
        <v>456</v>
      </c>
    </row>
    <row r="16">
      <c r="A16" s="2" t="inlineStr">
        <is>
          <t xml:space="preserve">      pretax DOE — P&amp;C</t>
        </is>
      </c>
      <c r="B16" s="3" t="n">
        <v>102</v>
      </c>
      <c r="C16" s="3" t="n">
        <v>118</v>
      </c>
      <c r="D16" s="3" t="n">
        <v>65</v>
      </c>
      <c r="E16" s="3" t="n">
        <v>113</v>
      </c>
      <c r="F16" s="3" t="n">
        <v>103</v>
      </c>
      <c r="G16" s="3" t="n">
        <v>124</v>
      </c>
    </row>
    <row r="17">
      <c r="A17" s="2" t="inlineStr">
        <is>
          <t xml:space="preserve">      pretax DOE — life insurance</t>
        </is>
      </c>
      <c r="B17" s="3" t="n">
        <v>32</v>
      </c>
      <c r="C17" s="3" t="n">
        <v>32</v>
      </c>
      <c r="D17" s="3" t="n">
        <v>40</v>
      </c>
      <c r="E17" s="3" t="n">
        <v>37</v>
      </c>
      <c r="F17" s="3" t="n">
        <v>44</v>
      </c>
      <c r="G17" s="3" t="n">
        <v>20</v>
      </c>
    </row>
    <row r="18">
      <c r="A18" s="2" t="inlineStr">
        <is>
          <t xml:space="preserve">      pretax DOE — corporate &amp; other</t>
        </is>
      </c>
      <c r="B18" s="3" t="n">
        <v>-34</v>
      </c>
      <c r="C18" s="3" t="n">
        <v>-39</v>
      </c>
      <c r="D18" s="3" t="n">
        <v>-30</v>
      </c>
      <c r="E18" s="3" t="n">
        <v>-28</v>
      </c>
      <c r="F18" s="3" t="n">
        <v>-46</v>
      </c>
      <c r="G18" s="3" t="n">
        <v>-66</v>
      </c>
    </row>
    <row r="19">
      <c r="A19" s="2" t="inlineStr">
        <is>
          <t>Total pretax DOE (printed)</t>
        </is>
      </c>
      <c r="B19" s="3" t="n">
        <v>516</v>
      </c>
      <c r="C19" s="3" t="n">
        <v>533</v>
      </c>
      <c r="D19" s="3" t="n">
        <v>485</v>
      </c>
      <c r="E19" s="3" t="n">
        <v>521</v>
      </c>
      <c r="F19" s="3" t="n">
        <v>533</v>
      </c>
      <c r="G19" s="3" t="n">
        <v>534</v>
      </c>
    </row>
    <row r="20">
      <c r="A20" s="4" t="inlineStr">
        <is>
          <t>CHECK: pretax DOE + tax = DOE</t>
        </is>
      </c>
      <c r="B20" s="4">
        <f>IF(OR(B19+B12="",B10=""),"n/a",IF(ABS(B19+B12-B10)&lt;=2,"OK","FAIL"))</f>
        <v/>
      </c>
      <c r="C20" s="4">
        <f>IF(OR(C19+C12="",C10=""),"n/a",IF(ABS(C19+C12-C10)&lt;=2,"OK","FAIL"))</f>
        <v/>
      </c>
      <c r="D20" s="4">
        <f>IF(OR(D19+D12="",D10=""),"n/a",IF(ABS(D19+D12-D10)&lt;=2,"OK","FAIL"))</f>
        <v/>
      </c>
      <c r="E20" s="4">
        <f>IF(OR(E19+E12="",E10=""),"n/a",IF(ABS(E19+E12-E10)&lt;=2,"OK","FAIL"))</f>
        <v/>
      </c>
      <c r="F20" s="4">
        <f>IF(OR(F19+F12="",F10=""),"n/a",IF(ABS(F19+F12-F10)&lt;=2,"OK","FAIL"))</f>
        <v/>
      </c>
      <c r="G20" s="4">
        <f>IF(OR(G19+G12="",G10=""),"n/a",IF(ABS(G19+G12-G10)&lt;=2,"OK","FAIL"))</f>
        <v/>
      </c>
    </row>
    <row r="21">
      <c r="A21" s="4" t="inlineStr">
        <is>
          <t>CHECK: segment pretax DOE foots</t>
        </is>
      </c>
      <c r="B21" s="4">
        <f>IF(OR(B15+B16+B17+B18="",B19=""),"n/a",IF(ABS(B15+B16+B17+B18-B19)&lt;=2,"OK","FAIL"))</f>
        <v/>
      </c>
      <c r="C21" s="4">
        <f>IF(OR(C15+C16+C17+C18="",C19=""),"n/a",IF(ABS(C15+C16+C17+C18-C19)&lt;=2,"OK","FAIL"))</f>
        <v/>
      </c>
      <c r="D21" s="4">
        <f>IF(OR(D15+D16+D17+D18="",D19=""),"n/a",IF(ABS(D15+D16+D17+D18-D19)&lt;=2,"OK","FAIL"))</f>
        <v/>
      </c>
      <c r="E21" s="4">
        <f>IF(OR(E15+E16+E17+E18="",E19=""),"n/a",IF(ABS(E15+E16+E17+E18-E19)&lt;=2,"OK","FAIL"))</f>
        <v/>
      </c>
      <c r="F21" s="4">
        <f>IF(OR(F15+F16+F17+F18="",F19=""),"n/a",IF(ABS(F15+F16+F17+F18-F19)&lt;=2,"OK","FAIL"))</f>
        <v/>
      </c>
      <c r="G21" s="4">
        <f>IF(OR(G15+G16+G17+G18="",G19=""),"n/a",IF(ABS(G15+G16+G17+G18-G19)&lt;=2,"OK","FAIL"))</f>
        <v/>
      </c>
    </row>
    <row r="23">
      <c r="A23" s="1" t="inlineStr">
        <is>
          <t>② THE ANNUITY RULER — rates (printed, %)</t>
        </is>
      </c>
    </row>
    <row r="24">
      <c r="A24" s="2" t="inlineStr">
        <is>
          <t>Annuity net investment income (rate)</t>
        </is>
      </c>
      <c r="B24" s="5" t="n">
        <v>1220</v>
      </c>
      <c r="C24" s="5" t="n">
        <v>1321</v>
      </c>
      <c r="D24" s="5" t="n">
        <v>1345</v>
      </c>
      <c r="E24" s="5" t="n">
        <v>1371</v>
      </c>
      <c r="F24" s="5" t="n">
        <v>1416</v>
      </c>
      <c r="G24" s="5" t="n">
        <v>1487</v>
      </c>
    </row>
    <row r="25">
      <c r="A25" s="2" t="inlineStr">
        <is>
          <t>Annuity cost of funds (rate)</t>
        </is>
      </c>
      <c r="B25" s="5" t="n">
        <v>-804</v>
      </c>
      <c r="C25" s="5" t="n">
        <v>-899</v>
      </c>
      <c r="D25" s="5" t="n">
        <v>-935</v>
      </c>
      <c r="E25" s="5" t="n">
        <v>-972</v>
      </c>
      <c r="F25" s="5" t="n">
        <v>-984</v>
      </c>
      <c r="G25" s="5" t="n">
        <v>-1031</v>
      </c>
    </row>
    <row r="26">
      <c r="A26" s="2" t="inlineStr">
        <is>
          <t>ANNUITY NET INVESTMENT SPREAD</t>
        </is>
      </c>
      <c r="B26" s="5" t="n">
        <v>416</v>
      </c>
      <c r="C26" s="5" t="n">
        <v>422</v>
      </c>
      <c r="D26" s="5" t="n">
        <v>410</v>
      </c>
      <c r="E26" s="5" t="n">
        <v>399</v>
      </c>
      <c r="F26" s="5" t="n">
        <v>432</v>
      </c>
      <c r="G26" s="5" t="n">
        <v>456</v>
      </c>
    </row>
    <row r="27">
      <c r="A27" s="2" t="inlineStr">
        <is>
          <t>Annuity average invested assets</t>
        </is>
      </c>
      <c r="B27" s="3" t="n">
        <v>87507</v>
      </c>
      <c r="C27" s="3" t="n">
        <v>91266</v>
      </c>
      <c r="D27" s="3" t="n">
        <v>93479</v>
      </c>
      <c r="E27" s="3" t="n">
        <v>96527</v>
      </c>
      <c r="F27" s="3" t="n">
        <v>100708</v>
      </c>
      <c r="G27" s="3" t="n">
        <v>103465</v>
      </c>
    </row>
    <row r="29">
      <c r="A29" s="1" t="inlineStr">
        <is>
          <t>③ FLOWS — sales, outflows, net flows</t>
        </is>
      </c>
    </row>
    <row r="30">
      <c r="A30" s="2" t="inlineStr">
        <is>
          <t xml:space="preserve">    Retail sales — fixed index</t>
        </is>
      </c>
      <c r="B30" s="3" t="n">
        <v>1797</v>
      </c>
      <c r="C30" s="3" t="n">
        <v>1835</v>
      </c>
      <c r="D30" s="3" t="n">
        <v>2513</v>
      </c>
      <c r="E30" s="3" t="n">
        <v>2529</v>
      </c>
      <c r="F30" s="3" t="n">
        <v>2155</v>
      </c>
      <c r="G30" s="3" t="n">
        <v>1691</v>
      </c>
    </row>
    <row r="31">
      <c r="A31" s="2" t="inlineStr">
        <is>
          <t xml:space="preserve">    Retail sales — fixed rate</t>
        </is>
      </c>
      <c r="B31" s="3" t="n">
        <v>918</v>
      </c>
      <c r="C31" s="3" t="n">
        <v>1049</v>
      </c>
      <c r="D31" s="3" t="n">
        <v>1031</v>
      </c>
      <c r="E31" s="3" t="n">
        <v>2128</v>
      </c>
      <c r="F31" s="3" t="n">
        <v>2028</v>
      </c>
      <c r="G31" s="3" t="n">
        <v>1385</v>
      </c>
    </row>
    <row r="32">
      <c r="A32" s="2" t="inlineStr">
        <is>
          <t xml:space="preserve">    Retail sales — variable/other</t>
        </is>
      </c>
      <c r="B32" s="3" t="n">
        <v>16</v>
      </c>
      <c r="C32" s="3" t="n">
        <v>46</v>
      </c>
      <c r="D32" s="3" t="n">
        <v>80</v>
      </c>
      <c r="E32" s="3" t="n">
        <v>101</v>
      </c>
      <c r="F32" s="3" t="n">
        <v>166</v>
      </c>
      <c r="G32" s="3" t="n">
        <v>176</v>
      </c>
    </row>
    <row r="33">
      <c r="A33" s="2" t="inlineStr">
        <is>
          <t>Total retail sales (printed)</t>
        </is>
      </c>
      <c r="B33" s="3" t="n">
        <v>2731</v>
      </c>
      <c r="C33" s="3" t="n">
        <v>2930</v>
      </c>
      <c r="D33" s="3" t="n">
        <v>3624</v>
      </c>
      <c r="E33" s="3" t="n">
        <v>4758</v>
      </c>
      <c r="F33" s="3" t="n">
        <v>4349</v>
      </c>
      <c r="G33" s="3" t="n">
        <v>3252</v>
      </c>
    </row>
    <row r="34">
      <c r="A34" s="4" t="inlineStr">
        <is>
          <t>CHECK: retail foots</t>
        </is>
      </c>
      <c r="B34" s="4">
        <f>IF(OR(B30+B31+B32="",B33=""),"n/a",IF(ABS(B30+B31+B32-B33)&lt;=2,"OK","FAIL"))</f>
        <v/>
      </c>
      <c r="C34" s="4">
        <f>IF(OR(C30+C31+C32="",C33=""),"n/a",IF(ABS(C30+C31+C32-C33)&lt;=2,"OK","FAIL"))</f>
        <v/>
      </c>
      <c r="D34" s="4">
        <f>IF(OR(D30+D31+D32="",D33=""),"n/a",IF(ABS(D30+D31+D32-D33)&lt;=2,"OK","FAIL"))</f>
        <v/>
      </c>
      <c r="E34" s="4">
        <f>IF(OR(E30+E31+E32="",E33=""),"n/a",IF(ABS(E30+E31+E32-E33)&lt;=2,"OK","FAIL"))</f>
        <v/>
      </c>
      <c r="F34" s="4">
        <f>IF(OR(F30+F31+F32="",F33=""),"n/a",IF(ABS(F30+F31+F32-F33)&lt;=2,"OK","FAIL"))</f>
        <v/>
      </c>
      <c r="G34" s="4">
        <f>IF(OR(G30+G31+G32="",G33=""),"n/a",IF(ABS(G30+G31+G32-G33)&lt;=2,"OK","FAIL"))</f>
        <v/>
      </c>
    </row>
    <row r="35">
      <c r="A35" s="2" t="inlineStr">
        <is>
          <t xml:space="preserve">    Institutional — PRT</t>
        </is>
      </c>
      <c r="B35" s="3" t="n">
        <v>3241</v>
      </c>
      <c r="C35" s="3" t="n">
        <v>408</v>
      </c>
      <c r="D35" s="3" t="n">
        <v>311</v>
      </c>
      <c r="E35" s="3" t="n">
        <v>280</v>
      </c>
      <c r="F35" s="3" t="n">
        <v>880</v>
      </c>
      <c r="G35" s="3" t="n">
        <v>90</v>
      </c>
    </row>
    <row r="36">
      <c r="A36" s="2" t="inlineStr">
        <is>
          <t xml:space="preserve">    Institutional — funding agreements</t>
        </is>
      </c>
      <c r="B36" s="3" t="n">
        <v>0</v>
      </c>
      <c r="C36" s="3" t="n">
        <v>500</v>
      </c>
      <c r="D36" s="3" t="n">
        <v>400</v>
      </c>
      <c r="E36" s="3" t="n">
        <v>0</v>
      </c>
      <c r="F36" s="3" t="n">
        <v>1389</v>
      </c>
      <c r="G36" s="3" t="n">
        <v>500</v>
      </c>
    </row>
    <row r="37">
      <c r="A37" s="2" t="inlineStr">
        <is>
          <t>Total institutional sales (printed)</t>
        </is>
      </c>
      <c r="B37" s="3" t="n">
        <v>3241</v>
      </c>
      <c r="C37" s="3" t="n">
        <v>908</v>
      </c>
      <c r="D37" s="3" t="n">
        <v>711</v>
      </c>
      <c r="E37" s="3" t="n">
        <v>280</v>
      </c>
      <c r="F37" s="3" t="n">
        <v>2269</v>
      </c>
      <c r="G37" s="3" t="n">
        <v>590</v>
      </c>
    </row>
    <row r="38">
      <c r="A38" s="4" t="inlineStr">
        <is>
          <t>CHECK: institutional foots</t>
        </is>
      </c>
      <c r="B38" s="4">
        <f>IF(OR(B35+B36="",B37=""),"n/a",IF(ABS(B35+B36-B37)&lt;=2,"OK","FAIL"))</f>
        <v/>
      </c>
      <c r="C38" s="4">
        <f>IF(OR(C35+C36="",C37=""),"n/a",IF(ABS(C35+C36-C37)&lt;=2,"OK","FAIL"))</f>
        <v/>
      </c>
      <c r="D38" s="4">
        <f>IF(OR(D35+D36="",D37=""),"n/a",IF(ABS(D35+D36-D37)&lt;=2,"OK","FAIL"))</f>
        <v/>
      </c>
      <c r="E38" s="4">
        <f>IF(OR(E35+E36="",E37=""),"n/a",IF(ABS(E35+E36-E37)&lt;=2,"OK","FAIL"))</f>
        <v/>
      </c>
      <c r="F38" s="4">
        <f>IF(OR(F35+F36="",F37=""),"n/a",IF(ABS(F35+F36-F37)&lt;=2,"OK","FAIL"))</f>
        <v/>
      </c>
      <c r="G38" s="4">
        <f>IF(OR(G35+G36="",G37=""),"n/a",IF(ABS(G35+G36-G37)&lt;=2,"OK","FAIL"))</f>
        <v/>
      </c>
    </row>
    <row r="39">
      <c r="A39" s="2" t="inlineStr">
        <is>
          <t>TOTAL GROSS ANNUITY SALES (printed)</t>
        </is>
      </c>
      <c r="B39" s="3" t="n">
        <v>5972</v>
      </c>
      <c r="C39" s="3" t="n">
        <v>3838</v>
      </c>
      <c r="D39" s="3" t="n">
        <v>4335</v>
      </c>
      <c r="E39" s="3" t="n">
        <v>5038</v>
      </c>
      <c r="F39" s="3" t="n">
        <v>6618</v>
      </c>
      <c r="G39" s="3" t="n">
        <v>3842</v>
      </c>
    </row>
    <row r="40">
      <c r="A40" s="4" t="inlineStr">
        <is>
          <t>CHECK: retail + institutional = gross sales</t>
        </is>
      </c>
      <c r="B40" s="4">
        <f>IF(OR(B33+B37="",B39=""),"n/a",IF(ABS(B33+B37-B39)&lt;=2,"OK","FAIL"))</f>
        <v/>
      </c>
      <c r="C40" s="4">
        <f>IF(OR(C33+C37="",C39=""),"n/a",IF(ABS(C33+C37-C39)&lt;=2,"OK","FAIL"))</f>
        <v/>
      </c>
      <c r="D40" s="4">
        <f>IF(OR(D33+D37="",D39=""),"n/a",IF(ABS(D33+D37-D39)&lt;=2,"OK","FAIL"))</f>
        <v/>
      </c>
      <c r="E40" s="4">
        <f>IF(OR(E33+E37="",E39=""),"n/a",IF(ABS(E33+E37-E39)&lt;=2,"OK","FAIL"))</f>
        <v/>
      </c>
      <c r="F40" s="4">
        <f>IF(OR(F33+F37="",F39=""),"n/a",IF(ABS(F33+F37-F39)&lt;=2,"OK","FAIL"))</f>
        <v/>
      </c>
      <c r="G40" s="4">
        <f>IF(OR(G33+G37="",G39=""),"n/a",IF(ABS(G33+G37-G39)&lt;=2,"OK","FAIL"))</f>
        <v/>
      </c>
    </row>
    <row r="41">
      <c r="A41" s="2" t="inlineStr">
        <is>
          <t xml:space="preserve">      retail outflows</t>
        </is>
      </c>
      <c r="B41" s="3" t="n">
        <v>-2246</v>
      </c>
      <c r="C41" s="3" t="n">
        <v>-2158</v>
      </c>
      <c r="D41" s="3" t="n">
        <v>-2475</v>
      </c>
      <c r="E41" s="3" t="n">
        <v>-2816</v>
      </c>
      <c r="F41" s="3" t="n">
        <v>-2763</v>
      </c>
      <c r="G41" s="3" t="n">
        <v>-2730</v>
      </c>
    </row>
    <row r="42">
      <c r="A42" s="2" t="inlineStr">
        <is>
          <t xml:space="preserve">      institutional outflows</t>
        </is>
      </c>
      <c r="B42" s="3" t="n">
        <v>-150</v>
      </c>
      <c r="C42" s="3" t="n">
        <v>-142</v>
      </c>
      <c r="D42" s="3" t="n">
        <v>-180</v>
      </c>
      <c r="E42" s="3" t="n">
        <v>-201</v>
      </c>
      <c r="F42" s="3" t="n">
        <v>-221</v>
      </c>
      <c r="G42" s="3" t="n">
        <v>-225</v>
      </c>
    </row>
    <row r="43">
      <c r="A43" s="2" t="inlineStr">
        <is>
          <t>Total net annuity sales (printed)</t>
        </is>
      </c>
      <c r="B43" s="3" t="n">
        <v>5969</v>
      </c>
      <c r="C43" s="3" t="n">
        <v>3831</v>
      </c>
      <c r="D43" s="3" t="n">
        <v>4326</v>
      </c>
      <c r="E43" s="3" t="n">
        <v>5024</v>
      </c>
      <c r="F43" s="3" t="n">
        <v>6604</v>
      </c>
      <c r="G43" s="3" t="n">
        <v>3840</v>
      </c>
    </row>
    <row r="44">
      <c r="A44" s="2" t="inlineStr">
        <is>
          <t>TOTAL NET FLOWS (printed)</t>
        </is>
      </c>
      <c r="B44" s="3" t="n">
        <v>3573</v>
      </c>
      <c r="C44" s="3" t="n">
        <v>1531</v>
      </c>
      <c r="D44" s="3" t="n">
        <v>1671</v>
      </c>
      <c r="E44" s="3" t="n">
        <v>2007</v>
      </c>
      <c r="F44" s="3" t="n">
        <v>3620</v>
      </c>
      <c r="G44" s="3" t="n">
        <v>885</v>
      </c>
    </row>
    <row r="46">
      <c r="A46" s="1" t="inlineStr">
        <is>
          <t>④ INCOME ROWS (GAAP basis)</t>
        </is>
      </c>
    </row>
    <row r="47">
      <c r="A47" s="2" t="inlineStr">
        <is>
          <t>Net premiums and other policy revenue</t>
        </is>
      </c>
      <c r="B47" s="3" t="n">
        <v>4307</v>
      </c>
      <c r="C47" s="3" t="n">
        <v>1301</v>
      </c>
      <c r="D47" s="3" t="n">
        <v>1229</v>
      </c>
      <c r="E47" s="3" t="n">
        <v>1002</v>
      </c>
      <c r="F47" s="3" t="n">
        <v>1745</v>
      </c>
      <c r="G47" s="3" t="n">
        <v>872</v>
      </c>
    </row>
    <row r="48">
      <c r="A48" s="2" t="inlineStr">
        <is>
          <t>Net investment income incl funds withheld</t>
        </is>
      </c>
      <c r="B48" s="3" t="n">
        <v>1325</v>
      </c>
      <c r="C48" s="3" t="n">
        <v>1429</v>
      </c>
      <c r="D48" s="3" t="n">
        <v>1486</v>
      </c>
      <c r="E48" s="3" t="n">
        <v>1493</v>
      </c>
      <c r="F48" s="3" t="n">
        <v>1484</v>
      </c>
      <c r="G48" s="3" t="n">
        <v>1471</v>
      </c>
    </row>
    <row r="49">
      <c r="A49" s="2" t="inlineStr">
        <is>
          <t>Net investment gains (losses) incl funds withheld</t>
        </is>
      </c>
      <c r="B49" s="3" t="n">
        <v>115</v>
      </c>
      <c r="C49" s="3" t="n">
        <v>-112</v>
      </c>
      <c r="D49" s="3" t="n">
        <v>322</v>
      </c>
      <c r="E49" s="3" t="n">
        <v>431</v>
      </c>
      <c r="F49" s="3" t="n">
        <v>-175</v>
      </c>
      <c r="G49" s="3" t="n">
        <v>-687</v>
      </c>
    </row>
    <row r="51">
      <c r="A51" s="1" t="inlineStr">
        <is>
          <t>⑤ STOCKS</t>
        </is>
      </c>
    </row>
    <row r="52">
      <c r="A52" s="2" t="inlineStr">
        <is>
          <t>Total assets</t>
        </is>
      </c>
      <c r="B52" s="3" t="n">
        <v>139953</v>
      </c>
      <c r="C52" s="3" t="n">
        <v>141612</v>
      </c>
      <c r="D52" s="3" t="n">
        <v>148893</v>
      </c>
      <c r="E52" s="3" t="n">
        <v>152821</v>
      </c>
      <c r="F52" s="3" t="n">
        <v>157181</v>
      </c>
      <c r="G52" s="3" t="n">
        <v>156059</v>
      </c>
    </row>
    <row r="53">
      <c r="A53" s="2" t="inlineStr">
        <is>
          <t xml:space="preserve">      total insurance assets</t>
        </is>
      </c>
      <c r="B53" s="3" t="n">
        <v>129698</v>
      </c>
      <c r="C53" s="3" t="n">
        <v>131385</v>
      </c>
      <c r="D53" s="3" t="n">
        <v>134726</v>
      </c>
      <c r="E53" s="3" t="n">
        <v>138520</v>
      </c>
      <c r="F53" s="3" t="n">
        <v>143427</v>
      </c>
      <c r="G53" s="3" t="n">
        <v>143525</v>
      </c>
    </row>
    <row r="54">
      <c r="A54" s="2" t="inlineStr">
        <is>
          <t>Total liabilities</t>
        </is>
      </c>
      <c r="B54" s="3" t="n">
        <v>126877</v>
      </c>
      <c r="C54" s="3" t="n">
        <v>128602</v>
      </c>
      <c r="D54" s="3" t="n">
        <v>133054</v>
      </c>
      <c r="E54" s="3" t="n">
        <v>135906</v>
      </c>
      <c r="F54" s="3" t="n">
        <v>139264</v>
      </c>
      <c r="G54" s="3" t="n">
        <v>139168</v>
      </c>
    </row>
    <row r="55">
      <c r="A55" s="2" t="inlineStr">
        <is>
          <t xml:space="preserve">      total insurance liabilities</t>
        </is>
      </c>
      <c r="B55" s="3" t="n">
        <v>115218</v>
      </c>
      <c r="C55" s="3" t="n">
        <v>117265</v>
      </c>
      <c r="D55" s="3" t="n">
        <v>120193</v>
      </c>
      <c r="E55" s="3" t="n">
        <v>122872</v>
      </c>
      <c r="F55" s="3" t="n">
        <v>126902</v>
      </c>
      <c r="G55" s="3" t="n">
        <v>127336</v>
      </c>
    </row>
    <row r="56">
      <c r="A56" s="2" t="inlineStr">
        <is>
          <t xml:space="preserve">      total gross reserves</t>
        </is>
      </c>
      <c r="B56" s="3" t="n">
        <v>109983</v>
      </c>
      <c r="C56" s="3" t="n"/>
      <c r="D56" s="3" t="n"/>
      <c r="E56" s="3" t="n"/>
      <c r="F56" s="3" t="n">
        <v>122473</v>
      </c>
      <c r="G56" s="3" t="n">
        <v>122911</v>
      </c>
    </row>
    <row r="57">
      <c r="A57" s="2" t="inlineStr">
        <is>
          <t xml:space="preserve">      total net reserves</t>
        </is>
      </c>
      <c r="B57" s="3" t="n">
        <v>97894</v>
      </c>
      <c r="C57" s="3" t="n"/>
      <c r="D57" s="3" t="n"/>
      <c r="E57" s="3" t="n"/>
      <c r="F57" s="3" t="n">
        <v>110321</v>
      </c>
      <c r="G57" s="3" t="n">
        <v>110974</v>
      </c>
    </row>
    <row r="58">
      <c r="A58" s="2" t="inlineStr">
        <is>
          <t>Total equity</t>
        </is>
      </c>
      <c r="B58" s="3" t="n">
        <v>13076</v>
      </c>
      <c r="C58" s="3" t="n">
        <v>13010</v>
      </c>
      <c r="D58" s="3" t="n">
        <v>15839</v>
      </c>
      <c r="E58" s="3" t="n">
        <v>16915</v>
      </c>
      <c r="F58" s="3" t="n">
        <v>17917</v>
      </c>
      <c r="G58" s="3" t="n">
        <v>16891</v>
      </c>
    </row>
    <row r="59">
      <c r="A59" s="4" t="inlineStr">
        <is>
          <t>CHECK: A = L + E</t>
        </is>
      </c>
      <c r="B59" s="4">
        <f>IF(OR(B54+B58="",B52=""),"n/a",IF(ABS(B54+B58-B52)&lt;=2,"OK","FAIL"))</f>
        <v/>
      </c>
      <c r="C59" s="4">
        <f>IF(OR(C54+C58="",C52=""),"n/a",IF(ABS(C54+C58-C52)&lt;=2,"OK","FAIL"))</f>
        <v/>
      </c>
      <c r="D59" s="4">
        <f>IF(OR(D54+D58="",D52=""),"n/a",IF(ABS(D54+D58-D52)&lt;=2,"OK","FAIL"))</f>
        <v/>
      </c>
      <c r="E59" s="4">
        <f>IF(OR(E54+E58="",E52=""),"n/a",IF(ABS(E54+E58-E52)&lt;=2,"OK","FAIL"))</f>
        <v/>
      </c>
      <c r="F59" s="4">
        <f>IF(OR(F54+F58="",F52=""),"n/a",IF(ABS(F54+F58-F52)&lt;=2,"OK","FAIL"))</f>
        <v/>
      </c>
      <c r="G59" s="4">
        <f>IF(OR(G54+G58="",G52=""),"n/a",IF(ABS(G54+G58-G52)&lt;=2,"OK","FAIL"))</f>
        <v/>
      </c>
    </row>
    <row r="60">
      <c r="A60" s="2" t="inlineStr">
        <is>
          <t>Adjusted equity (non-GAAP)</t>
        </is>
      </c>
      <c r="B60" s="3" t="n">
        <v>11760</v>
      </c>
      <c r="C60" s="3" t="n">
        <v>12173</v>
      </c>
      <c r="D60" s="3" t="n">
        <v>14688</v>
      </c>
      <c r="E60" s="3" t="n">
        <v>15213</v>
      </c>
      <c r="F60" s="3" t="n">
        <v>16837</v>
      </c>
      <c r="G60" s="3" t="n">
        <v>17080</v>
      </c>
    </row>
    <row r="62">
      <c r="A62" s="1" t="inlineStr">
        <is>
          <t>⑥ CROSS-GATE — 2025 quarters vs FY2025 (Engine-FY column D)</t>
        </is>
      </c>
    </row>
    <row r="63">
      <c r="A63" s="4" t="inlineStr">
        <is>
          <t>CHECK: Σ(1Q25..4Q25) net income = FY2025</t>
        </is>
      </c>
      <c r="B63" s="4">
        <f>IF(ABS(SUM(C13:F13)-'Engine-FY'!D48)&lt;=2,"OK","FAIL")</f>
        <v/>
      </c>
    </row>
    <row r="64">
      <c r="A64" s="4" t="inlineStr">
        <is>
          <t>CHECK: Σ(1Q25..4Q25) DOE = FY2025</t>
        </is>
      </c>
      <c r="B64" s="4">
        <f>IF(ABS(SUM(C10:F10)-'Engine-FY'!D62)&lt;=2,"OK","FAIL")</f>
        <v/>
      </c>
    </row>
    <row r="65">
      <c r="A65" s="4" t="inlineStr">
        <is>
          <t>CHECK: Σ(1Q25..4Q25) gross annuity sales = FY2025</t>
        </is>
      </c>
      <c r="B65" s="4">
        <f>IF(ABS(SUM(C39:F39)-'Engine-FY'!D13)&lt;=2,"OK","FAIL")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Master check — count of FAIL cells across all engine tabs (must be 0)</t>
        </is>
      </c>
    </row>
    <row r="2">
      <c r="A2" s="6" t="inlineStr">
        <is>
          <t>TOTAL FAILING CHECKS</t>
        </is>
      </c>
      <c r="B2" s="6">
        <f>B3+B4+B5+B6</f>
        <v/>
      </c>
    </row>
    <row r="3">
      <c r="A3" s="4" t="inlineStr">
        <is>
          <t>chunk 1</t>
        </is>
      </c>
      <c r="B3" s="2">
        <f>COUNTIF('Engine-FY'!B8,"FAIL")+COUNTIF('Engine-FY'!C8,"FAIL")+COUNTIF('Engine-FY'!D8,"FAIL")+COUNTIF('Engine-FY'!B12,"FAIL")+COUNTIF('Engine-FY'!C12,"FAIL")+COUNTIF('Engine-FY'!D12,"FAIL")+COUNTIF('Engine-FY'!B14,"FAIL")+COUNTIF('Engine-FY'!C14,"FAIL")+COUNTIF('Engine-FY'!D14,"FAIL")+COUNTIF('Engine-FY'!B19,"FAIL")+COUNTIF('Engine-FY'!C19,"FAIL")+COUNTIF('Engine-FY'!D19,"FAIL")+COUNTIF('Engine-FY'!B30,"FAIL")+COUNTIF('Engine-FY'!C30,"FAIL")+COUNTIF('Engine-FY'!D30,"FAIL")+COUNTIF('Engine-FY'!B42,"FAIL")+COUNTIF('Engine-FY'!C42,"FAIL")+COUNTIF('Engine-FY'!D42,"FAIL")+COUNTIF('Engine-FY'!B46,"FAIL")+COUNTIF('Engine-FY'!C46,"FAIL")+COUNTIF('Engine-FY'!D46,"FAIL")+COUNTIF('Engine-FY'!B49,"FAIL")+COUNTIF('Engine-FY'!C49,"FAIL")+COUNTIF('Engine-FY'!D49,"FAIL")+COUNTIF('Engine-FY'!B53,"FAIL")+COUNTIF('Engine-FY'!C53,"FAIL")+COUNTIF('Engine-FY'!D53,"FAIL")</f>
        <v/>
      </c>
    </row>
    <row r="4">
      <c r="A4" s="4" t="inlineStr">
        <is>
          <t>chunk 2</t>
        </is>
      </c>
      <c r="B4" s="2">
        <f>COUNTIF('Engine-FY'!B63,"FAIL")+COUNTIF('Engine-FY'!C63,"FAIL")+COUNTIF('Engine-FY'!D63,"FAIL")+COUNTIF('Engine-FY'!B68,"FAIL")+COUNTIF('Engine-FY'!C68,"FAIL")+COUNTIF('Engine-FY'!D68,"FAIL")+COUNTIF('Engine-FY'!B83,"FAIL")+COUNTIF('Engine-FY'!C83,"FAIL")+COUNTIF('Engine-FY'!D83,"FAIL")+COUNTIF('Engine'!B7,"FAIL")+COUNTIF('Engine'!C7,"FAIL")+COUNTIF('Engine'!D7,"FAIL")+COUNTIF('Engine'!E7,"FAIL")+COUNTIF('Engine'!F7,"FAIL")+COUNTIF('Engine'!G7,"FAIL")+COUNTIF('Engine'!B11,"FAIL")+COUNTIF('Engine'!C11,"FAIL")+COUNTIF('Engine'!D11,"FAIL")+COUNTIF('Engine'!E11,"FAIL")+COUNTIF('Engine'!F11,"FAIL")+COUNTIF('Engine'!G11,"FAIL")+COUNTIF('Engine'!B20,"FAIL")+COUNTIF('Engine'!C20,"FAIL")+COUNTIF('Engine'!D20,"FAIL")+COUNTIF('Engine'!E20,"FAIL")+COUNTIF('Engine'!F20,"FAIL")+COUNTIF('Engine'!G20,"FAIL")+COUNTIF('Engine'!B21,"FAIL")</f>
        <v/>
      </c>
    </row>
    <row r="5">
      <c r="A5" s="4" t="inlineStr">
        <is>
          <t>chunk 3</t>
        </is>
      </c>
      <c r="B5" s="2">
        <f>COUNTIF('Engine'!C21,"FAIL")+COUNTIF('Engine'!D21,"FAIL")+COUNTIF('Engine'!E21,"FAIL")+COUNTIF('Engine'!F21,"FAIL")+COUNTIF('Engine'!G21,"FAIL")+COUNTIF('Engine'!B34,"FAIL")+COUNTIF('Engine'!C34,"FAIL")+COUNTIF('Engine'!D34,"FAIL")+COUNTIF('Engine'!E34,"FAIL")+COUNTIF('Engine'!F34,"FAIL")+COUNTIF('Engine'!G34,"FAIL")+COUNTIF('Engine'!B38,"FAIL")+COUNTIF('Engine'!C38,"FAIL")+COUNTIF('Engine'!D38,"FAIL")+COUNTIF('Engine'!E38,"FAIL")+COUNTIF('Engine'!F38,"FAIL")+COUNTIF('Engine'!G38,"FAIL")+COUNTIF('Engine'!B40,"FAIL")+COUNTIF('Engine'!C40,"FAIL")+COUNTIF('Engine'!D40,"FAIL")+COUNTIF('Engine'!E40,"FAIL")+COUNTIF('Engine'!F40,"FAIL")+COUNTIF('Engine'!G40,"FAIL")+COUNTIF('Engine'!B59,"FAIL")+COUNTIF('Engine'!C59,"FAIL")+COUNTIF('Engine'!D59,"FAIL")+COUNTIF('Engine'!E59,"FAIL")+COUNTIF('Engine'!F59,"FAIL")+COUNTIF('Engine'!G59,"FAIL")</f>
        <v/>
      </c>
    </row>
    <row r="6">
      <c r="A6" s="4" t="inlineStr">
        <is>
          <t>chunk 4</t>
        </is>
      </c>
      <c r="B6" s="2">
        <f>COUNTIF('Engine'!B63,"FAIL")+COUNTIF('Engine'!B64,"FAIL")+COUNTIF('Engine'!B65,"FAIL")</f>
        <v/>
      </c>
    </row>
    <row r="8">
      <c r="A8" s="4" t="inlineStr">
        <is>
          <t>87 check cells tracked. BNT engine.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2026-07-22T21:27:36Z</dcterms:created>
  <dcterms:modified xsi:type="dcterms:W3CDTF">2026-07-22T21:27:36Z</dcterms:modified>
</cp:coreProperties>
</file>