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" sheetId="1" state="visible" r:id="rId1"/>
    <sheet name="Engine-FY" sheetId="2" state="visible" r:id="rId2"/>
    <sheet name="Checks" sheetId="3" state="visible" r:id="rId3"/>
    <sheet name="Data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666666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4" fillId="0" borderId="0" pivotButton="0" quotePrefix="0" xfId="0"/>
    <xf numFmtId="10" fontId="3" fillId="0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ATHENE — THE QUARTERLY ENGINE  (stock &amp; flow, every line from footed extracts)</t>
        </is>
      </c>
    </row>
    <row r="2">
      <c r="A2" s="2" t="inlineStr">
        <is>
          <t>$ in millions. Blue = filed value (ATH financial supplements, sha in acquisition/manifest.csv). Black bold = formula. "check" rows show FAIL if an identity breaks. Yellow column = fill when 2Q26 publishes.</t>
        </is>
      </c>
    </row>
    <row r="4">
      <c r="B4" s="3" t="inlineStr">
        <is>
          <t>4Q24</t>
        </is>
      </c>
      <c r="C4" s="3" t="inlineStr">
        <is>
          <t>1Q25</t>
        </is>
      </c>
      <c r="D4" s="3" t="inlineStr">
        <is>
          <t>2Q25</t>
        </is>
      </c>
      <c r="E4" s="3" t="inlineStr">
        <is>
          <t>3Q25</t>
        </is>
      </c>
      <c r="F4" s="3" t="inlineStr">
        <is>
          <t>4Q25</t>
        </is>
      </c>
      <c r="G4" s="3" t="inlineStr">
        <is>
          <t>1Q26</t>
        </is>
      </c>
      <c r="H4" s="4" t="inlineStr">
        <is>
          <t>2Q26</t>
        </is>
      </c>
    </row>
    <row r="6">
      <c r="A6" s="1" t="inlineStr">
        <is>
          <t>MONEY IN — BY CHANNEL</t>
        </is>
      </c>
    </row>
    <row r="7">
      <c r="A7" s="5" t="inlineStr">
        <is>
          <t>Retail</t>
        </is>
      </c>
      <c r="B7" s="6" t="n">
        <v>7954</v>
      </c>
      <c r="C7" s="6" t="n">
        <v>9482</v>
      </c>
      <c r="D7" s="6" t="n">
        <v>7256</v>
      </c>
      <c r="E7" s="6" t="n">
        <v>10046</v>
      </c>
      <c r="F7" s="6" t="n">
        <v>7343</v>
      </c>
      <c r="G7" s="6" t="n">
        <v>7270</v>
      </c>
      <c r="H7" s="7" t="n"/>
    </row>
    <row r="8">
      <c r="A8" s="5" t="inlineStr">
        <is>
          <t>Flow reinsurance</t>
        </is>
      </c>
      <c r="B8" s="6" t="n">
        <v>1029</v>
      </c>
      <c r="C8" s="6" t="n">
        <v>4933</v>
      </c>
      <c r="D8" s="6" t="n">
        <v>2031</v>
      </c>
      <c r="E8" s="6" t="n">
        <v>2542</v>
      </c>
      <c r="F8" s="6" t="n">
        <v>1665</v>
      </c>
      <c r="G8" s="6" t="n">
        <v>2603</v>
      </c>
      <c r="H8" s="7" t="n"/>
    </row>
    <row r="9">
      <c r="A9" s="5" t="inlineStr">
        <is>
          <t>Funding agreements</t>
        </is>
      </c>
      <c r="B9" s="6" t="n">
        <v>5167</v>
      </c>
      <c r="C9" s="6" t="n">
        <v>11144</v>
      </c>
      <c r="D9" s="6" t="n">
        <v>11707</v>
      </c>
      <c r="E9" s="6" t="n">
        <v>9724</v>
      </c>
      <c r="F9" s="6" t="n">
        <v>2800</v>
      </c>
      <c r="G9" s="6" t="n">
        <v>8531</v>
      </c>
      <c r="H9" s="7" t="n"/>
    </row>
    <row r="10">
      <c r="A10" s="5" t="inlineStr">
        <is>
          <t>Pension group annuities</t>
        </is>
      </c>
      <c r="B10" s="6" t="n">
        <v>47</v>
      </c>
      <c r="C10" s="6" t="n">
        <v>4</v>
      </c>
      <c r="D10" s="6" t="n">
        <v>1</v>
      </c>
      <c r="E10" s="6" t="n">
        <v>0</v>
      </c>
      <c r="F10" s="6" t="n">
        <v>746</v>
      </c>
      <c r="G10" s="6" t="n">
        <v>0</v>
      </c>
      <c r="H10" s="7" t="n"/>
    </row>
    <row r="11">
      <c r="A11" s="5" t="inlineStr">
        <is>
          <t>Other spread products</t>
        </is>
      </c>
      <c r="B11" s="6" t="n">
        <v>0</v>
      </c>
      <c r="C11" s="6" t="n">
        <v>0</v>
      </c>
      <c r="D11" s="6" t="n">
        <v>237</v>
      </c>
      <c r="E11" s="6" t="n">
        <v>304</v>
      </c>
      <c r="F11" s="6" t="n">
        <v>133</v>
      </c>
      <c r="G11" s="6" t="n">
        <v>1343</v>
      </c>
      <c r="H11" s="7" t="n"/>
    </row>
    <row r="12">
      <c r="A12" s="8" t="inlineStr">
        <is>
          <t>= Gross organic inflows</t>
        </is>
      </c>
      <c r="B12" s="9">
        <f>SUM(B7:B11)</f>
        <v/>
      </c>
      <c r="C12" s="9">
        <f>SUM(C7:C11)</f>
        <v/>
      </c>
      <c r="D12" s="9">
        <f>SUM(D7:D11)</f>
        <v/>
      </c>
      <c r="E12" s="9">
        <f>SUM(E7:E11)</f>
        <v/>
      </c>
      <c r="F12" s="9">
        <f>SUM(F7:F11)</f>
        <v/>
      </c>
      <c r="G12" s="9">
        <f>SUM(G7:G11)</f>
        <v/>
      </c>
    </row>
    <row r="13">
      <c r="A13" s="5" t="inlineStr">
        <is>
          <t>Gross inorganic (block) inflows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1340</v>
      </c>
      <c r="G13" s="6" t="n">
        <v>0</v>
      </c>
      <c r="H13" s="7" t="n"/>
    </row>
    <row r="14">
      <c r="A14" s="8" t="inlineStr">
        <is>
          <t>= TOTAL GROSS INFLOWS</t>
        </is>
      </c>
      <c r="B14" s="9">
        <f>B12+B13</f>
        <v/>
      </c>
      <c r="C14" s="9">
        <f>C12+C13</f>
        <v/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</row>
    <row r="15">
      <c r="A15" s="5" t="inlineStr">
        <is>
          <t xml:space="preserve">   reported total (filed)</t>
        </is>
      </c>
      <c r="B15" s="6" t="n">
        <v>14197</v>
      </c>
      <c r="C15" s="6" t="n">
        <v>25563</v>
      </c>
      <c r="D15" s="6" t="n">
        <v>21232</v>
      </c>
      <c r="E15" s="6" t="n">
        <v>22616</v>
      </c>
      <c r="F15" s="6" t="n">
        <v>14027</v>
      </c>
      <c r="G15" s="6" t="n">
        <v>19747</v>
      </c>
      <c r="H15" s="7" t="n"/>
    </row>
    <row r="16">
      <c r="A16" s="2" t="inlineStr">
        <is>
          <t xml:space="preserve">   check</t>
        </is>
      </c>
      <c r="B16" s="2">
        <f>IF(B14=B15,"OK","FAIL")</f>
        <v/>
      </c>
      <c r="C16" s="2">
        <f>IF(C14=C15,"OK","FAIL")</f>
        <v/>
      </c>
      <c r="D16" s="2">
        <f>IF(D14=D15,"OK","FAIL")</f>
        <v/>
      </c>
      <c r="E16" s="2">
        <f>IF(E14=E15,"OK","FAIL")</f>
        <v/>
      </c>
      <c r="F16" s="2">
        <f>IF(F14=F15,"OK","FAIL")</f>
        <v/>
      </c>
      <c r="G16" s="2">
        <f>IF(G14=G15,"OK","FAIL")</f>
        <v/>
      </c>
    </row>
    <row r="18">
      <c r="A18" s="1" t="inlineStr">
        <is>
          <t>SAME MONEY, BY OWNER — the two cuts must agree</t>
        </is>
      </c>
    </row>
    <row r="19">
      <c r="A19" s="5" t="inlineStr">
        <is>
          <t>Inflows attributable to Athene</t>
        </is>
      </c>
      <c r="B19" s="6" t="n">
        <v>8948</v>
      </c>
      <c r="C19" s="6" t="n">
        <v>20118</v>
      </c>
      <c r="D19" s="6" t="n">
        <v>15838</v>
      </c>
      <c r="E19" s="6" t="n">
        <v>17138</v>
      </c>
      <c r="F19" s="6" t="n">
        <v>10142</v>
      </c>
      <c r="G19" s="6" t="n">
        <v>15957</v>
      </c>
      <c r="H19" s="7" t="n"/>
    </row>
    <row r="20">
      <c r="A20" s="5" t="inlineStr">
        <is>
          <t>Inflows attributable to ADIP (sidecar investors)</t>
        </is>
      </c>
      <c r="B20" s="6" t="n">
        <v>4343</v>
      </c>
      <c r="C20" s="6" t="n">
        <v>4956</v>
      </c>
      <c r="D20" s="6" t="n">
        <v>5019</v>
      </c>
      <c r="E20" s="6" t="n">
        <v>4962</v>
      </c>
      <c r="F20" s="6" t="n">
        <v>3515</v>
      </c>
      <c r="G20" s="6" t="n">
        <v>3453</v>
      </c>
      <c r="H20" s="7" t="n"/>
    </row>
    <row r="21">
      <c r="A21" s="5" t="inlineStr">
        <is>
          <t>Inflows ceded to third-party reinsurers</t>
        </is>
      </c>
      <c r="B21" s="6" t="n">
        <v>906</v>
      </c>
      <c r="C21" s="6" t="n">
        <v>489</v>
      </c>
      <c r="D21" s="6" t="n">
        <v>375</v>
      </c>
      <c r="E21" s="6" t="n">
        <v>516</v>
      </c>
      <c r="F21" s="6" t="n">
        <v>370</v>
      </c>
      <c r="G21" s="6" t="n">
        <v>337</v>
      </c>
      <c r="H21" s="7" t="n"/>
    </row>
    <row r="22">
      <c r="A22" s="8" t="inlineStr">
        <is>
          <t>= Total by owner</t>
        </is>
      </c>
      <c r="B22" s="9">
        <f>SUM(B19:B21)</f>
        <v/>
      </c>
      <c r="C22" s="9">
        <f>SUM(C19:C21)</f>
        <v/>
      </c>
      <c r="D22" s="9">
        <f>SUM(D19:D21)</f>
        <v/>
      </c>
      <c r="E22" s="9">
        <f>SUM(E19:E21)</f>
        <v/>
      </c>
      <c r="F22" s="9">
        <f>SUM(F19:F21)</f>
        <v/>
      </c>
      <c r="G22" s="9">
        <f>SUM(G19:G21)</f>
        <v/>
      </c>
    </row>
    <row r="23">
      <c r="A23" s="2" t="inlineStr">
        <is>
          <t xml:space="preserve">   check vs channel cut</t>
        </is>
      </c>
      <c r="B23" s="2">
        <f>IF(B22=B15,"OK","FAIL")</f>
        <v/>
      </c>
      <c r="C23" s="2">
        <f>IF(C22=C15,"OK","FAIL")</f>
        <v/>
      </c>
      <c r="D23" s="2">
        <f>IF(D22=D15,"OK","FAIL")</f>
        <v/>
      </c>
      <c r="E23" s="2">
        <f>IF(E22=E15,"OK","FAIL")</f>
        <v/>
      </c>
      <c r="F23" s="2">
        <f>IF(F22=F15,"OK","FAIL")</f>
        <v/>
      </c>
      <c r="G23" s="2">
        <f>IF(G22=G15,"OK","FAIL")</f>
        <v/>
      </c>
    </row>
    <row r="25">
      <c r="A25" s="1" t="inlineStr">
        <is>
          <t>MONEY OUT</t>
        </is>
      </c>
    </row>
    <row r="26">
      <c r="A26" s="5" t="inlineStr">
        <is>
          <t>Outflows attributable to Athene</t>
        </is>
      </c>
      <c r="B26" s="6" t="n">
        <v>-5697</v>
      </c>
      <c r="C26" s="6" t="n">
        <v>-7017</v>
      </c>
      <c r="D26" s="6" t="n">
        <v>-5813</v>
      </c>
      <c r="E26" s="6" t="n">
        <v>-9181</v>
      </c>
      <c r="F26" s="6" t="n">
        <v>-7714</v>
      </c>
      <c r="G26" s="6" t="n">
        <v>-8612</v>
      </c>
      <c r="H26" s="7" t="n"/>
    </row>
    <row r="27">
      <c r="A27" s="5" t="inlineStr">
        <is>
          <t>Outflows attributable to ADIP</t>
        </is>
      </c>
      <c r="B27" s="6" t="n">
        <v>-1439</v>
      </c>
      <c r="C27" s="6" t="n">
        <v>-1375</v>
      </c>
      <c r="D27" s="6" t="n">
        <v>-1417</v>
      </c>
      <c r="E27" s="6" t="n">
        <v>-1457</v>
      </c>
      <c r="F27" s="6" t="n">
        <v>-1554</v>
      </c>
      <c r="G27" s="6" t="n">
        <v>-2156</v>
      </c>
      <c r="H27" s="7" t="n"/>
    </row>
    <row r="28">
      <c r="A28" s="8" t="inlineStr">
        <is>
          <t>= Total gross outflows</t>
        </is>
      </c>
      <c r="B28" s="9">
        <f>B26+B27</f>
        <v/>
      </c>
      <c r="C28" s="9">
        <f>C26+C27</f>
        <v/>
      </c>
      <c r="D28" s="9">
        <f>D26+D27</f>
        <v/>
      </c>
      <c r="E28" s="9">
        <f>E26+E27</f>
        <v/>
      </c>
      <c r="F28" s="9">
        <f>F26+F27</f>
        <v/>
      </c>
      <c r="G28" s="9">
        <f>G26+G27</f>
        <v/>
      </c>
    </row>
    <row r="29">
      <c r="A29" s="5" t="inlineStr">
        <is>
          <t xml:space="preserve">   reported total (filed)</t>
        </is>
      </c>
      <c r="B29" s="6" t="n">
        <v>-7136</v>
      </c>
      <c r="C29" s="6" t="n">
        <v>-8392</v>
      </c>
      <c r="D29" s="6" t="n">
        <v>-7230</v>
      </c>
      <c r="E29" s="6" t="n">
        <v>-10638</v>
      </c>
      <c r="F29" s="6" t="n">
        <v>-9268</v>
      </c>
      <c r="G29" s="6" t="n">
        <v>-10768</v>
      </c>
      <c r="H29" s="7" t="n"/>
    </row>
    <row r="30">
      <c r="A30" s="2" t="inlineStr">
        <is>
          <t xml:space="preserve">   check</t>
        </is>
      </c>
      <c r="B30" s="2">
        <f>IF(B28=B29,"OK","FAIL")</f>
        <v/>
      </c>
      <c r="C30" s="2">
        <f>IF(C28=C29,"OK","FAIL")</f>
        <v/>
      </c>
      <c r="D30" s="2">
        <f>IF(D28=D29,"OK","FAIL")</f>
        <v/>
      </c>
      <c r="E30" s="2">
        <f>IF(E28=E29,"OK","FAIL")</f>
        <v/>
      </c>
      <c r="F30" s="2">
        <f>IF(F28=F29,"OK","FAIL")</f>
        <v/>
      </c>
      <c r="G30" s="2">
        <f>IF(G28=G29,"OK","FAIL")</f>
        <v/>
      </c>
    </row>
    <row r="31">
      <c r="A31" s="2" t="inlineStr">
        <is>
          <t>Athene outflows by type:</t>
        </is>
      </c>
    </row>
    <row r="32">
      <c r="A32" s="5" t="inlineStr">
        <is>
          <t xml:space="preserve">    Maturity-driven / contractual</t>
        </is>
      </c>
      <c r="B32" s="6" t="n">
        <v>-2167</v>
      </c>
      <c r="C32" s="6" t="n">
        <v>-3535</v>
      </c>
      <c r="D32" s="6" t="n">
        <v>-2389</v>
      </c>
      <c r="E32" s="6" t="n">
        <v>-5525</v>
      </c>
      <c r="F32" s="6" t="n">
        <v>-3641</v>
      </c>
      <c r="G32" s="6" t="n">
        <v>-4960</v>
      </c>
      <c r="H32" s="7" t="n"/>
    </row>
    <row r="33">
      <c r="A33" s="5" t="inlineStr">
        <is>
          <t xml:space="preserve">    Policyholder-driven</t>
        </is>
      </c>
      <c r="B33" s="6" t="n">
        <v>-3530</v>
      </c>
      <c r="C33" s="6" t="n">
        <v>-3482</v>
      </c>
      <c r="D33" s="6" t="n">
        <v>-3424</v>
      </c>
      <c r="E33" s="6" t="n">
        <v>-3656</v>
      </c>
      <c r="F33" s="6" t="n">
        <v>-4073</v>
      </c>
      <c r="G33" s="6" t="n">
        <v>-3652</v>
      </c>
      <c r="H33" s="7" t="n"/>
    </row>
    <row r="34">
      <c r="A34" s="5" t="inlineStr">
        <is>
          <t xml:space="preserve">        income-oriented (planned)</t>
        </is>
      </c>
      <c r="B34" s="6" t="n">
        <v>-1661</v>
      </c>
      <c r="C34" s="6" t="n">
        <v>-1680</v>
      </c>
      <c r="D34" s="6" t="n">
        <v>-1609</v>
      </c>
      <c r="E34" s="6" t="n">
        <v>-1660</v>
      </c>
      <c r="F34" s="6" t="n">
        <v>-1922</v>
      </c>
      <c r="G34" s="6" t="n">
        <v>-1845</v>
      </c>
      <c r="H34" s="7" t="n"/>
    </row>
    <row r="35">
      <c r="A35" s="5" t="inlineStr">
        <is>
          <t xml:space="preserve">        out of surrender charge (planned)</t>
        </is>
      </c>
      <c r="B35" s="6" t="n">
        <v>-1131</v>
      </c>
      <c r="C35" s="6" t="n">
        <v>-1058</v>
      </c>
      <c r="D35" s="6" t="n">
        <v>-1025</v>
      </c>
      <c r="E35" s="6" t="n">
        <v>-1093</v>
      </c>
      <c r="F35" s="6" t="n">
        <v>-1198</v>
      </c>
      <c r="G35" s="6" t="n">
        <v>-1089</v>
      </c>
      <c r="H35" s="7" t="n"/>
    </row>
    <row r="36">
      <c r="A36" s="5" t="inlineStr">
        <is>
          <t xml:space="preserve">        in surrender charge (unplanned)</t>
        </is>
      </c>
      <c r="B36" s="6" t="n">
        <v>-738</v>
      </c>
      <c r="C36" s="6" t="n">
        <v>-744</v>
      </c>
      <c r="D36" s="6" t="n">
        <v>-790</v>
      </c>
      <c r="E36" s="6" t="n">
        <v>-903</v>
      </c>
      <c r="F36" s="6" t="n">
        <v>-953</v>
      </c>
      <c r="G36" s="6" t="n">
        <v>-718</v>
      </c>
      <c r="H36" s="7" t="n"/>
    </row>
    <row r="37">
      <c r="A37" s="2" t="inlineStr">
        <is>
          <t xml:space="preserve">   check: policyholder = its three parts</t>
        </is>
      </c>
      <c r="B37" s="2">
        <f>IF(B33=SUM(B34:B36),"OK","FAIL")</f>
        <v/>
      </c>
      <c r="C37" s="2">
        <f>IF(C33=SUM(C34:C36),"OK","FAIL")</f>
        <v/>
      </c>
      <c r="D37" s="2">
        <f>IF(D33=SUM(D34:D36),"OK","FAIL")</f>
        <v/>
      </c>
      <c r="E37" s="2">
        <f>IF(E33=SUM(E34:E36),"OK","FAIL")</f>
        <v/>
      </c>
      <c r="F37" s="2">
        <f>IF(F33=SUM(F34:F36),"OK","FAIL")</f>
        <v/>
      </c>
      <c r="G37" s="2">
        <f>IF(G33=SUM(G34:G36),"OK","FAIL")</f>
        <v/>
      </c>
    </row>
    <row r="38">
      <c r="A38" s="2" t="inlineStr">
        <is>
          <t xml:space="preserve">   check: maturity + policyholder = Athene outflows</t>
        </is>
      </c>
      <c r="B38" s="2">
        <f>IF(B32+B33=B26,"OK","FAIL")</f>
        <v/>
      </c>
      <c r="C38" s="2">
        <f>IF(C32+C33=C26,"OK","FAIL")</f>
        <v/>
      </c>
      <c r="D38" s="2">
        <f>IF(D32+D33=D26,"OK","FAIL")</f>
        <v/>
      </c>
      <c r="E38" s="2">
        <f>IF(E32+E33=E26,"OK","FAIL")</f>
        <v/>
      </c>
      <c r="F38" s="2">
        <f>IF(F32+F33=F26,"OK","FAIL")</f>
        <v/>
      </c>
      <c r="G38" s="2">
        <f>IF(G32+G33=G26,"OK","FAIL")</f>
        <v/>
      </c>
    </row>
    <row r="40">
      <c r="A40" s="1" t="inlineStr">
        <is>
          <t>NET FLOWS</t>
        </is>
      </c>
    </row>
    <row r="41">
      <c r="A41" s="8" t="inlineStr">
        <is>
          <t>= Net flows (inflows + outflows)</t>
        </is>
      </c>
      <c r="B41" s="9">
        <f>B14+B28</f>
        <v/>
      </c>
      <c r="C41" s="9">
        <f>C14+C28</f>
        <v/>
      </c>
      <c r="D41" s="9">
        <f>D14+D28</f>
        <v/>
      </c>
      <c r="E41" s="9">
        <f>E14+E28</f>
        <v/>
      </c>
      <c r="F41" s="9">
        <f>F14+F28</f>
        <v/>
      </c>
      <c r="G41" s="9">
        <f>G14+G28</f>
        <v/>
      </c>
    </row>
    <row r="42">
      <c r="A42" s="5" t="inlineStr">
        <is>
          <t xml:space="preserve">   reported net flows (filed)</t>
        </is>
      </c>
      <c r="B42" s="6" t="n">
        <v>7061</v>
      </c>
      <c r="C42" s="6" t="n">
        <v>17171</v>
      </c>
      <c r="D42" s="6" t="n">
        <v>14002</v>
      </c>
      <c r="E42" s="6" t="n">
        <v>11978</v>
      </c>
      <c r="F42" s="6" t="n">
        <v>4759</v>
      </c>
      <c r="G42" s="6" t="n">
        <v>8979</v>
      </c>
      <c r="H42" s="7" t="n"/>
    </row>
    <row r="43">
      <c r="A43" s="2" t="inlineStr">
        <is>
          <t xml:space="preserve">   check</t>
        </is>
      </c>
      <c r="B43" s="2">
        <f>IF(B41=B42,"OK","FAIL")</f>
        <v/>
      </c>
      <c r="C43" s="2">
        <f>IF(C41=C42,"OK","FAIL")</f>
        <v/>
      </c>
      <c r="D43" s="2">
        <f>IF(D41=D42,"OK","FAIL")</f>
        <v/>
      </c>
      <c r="E43" s="2">
        <f>IF(E41=E42,"OK","FAIL")</f>
        <v/>
      </c>
      <c r="F43" s="2">
        <f>IF(F41=F42,"OK","FAIL")</f>
        <v/>
      </c>
      <c r="G43" s="2">
        <f>IF(G41=G42,"OK","FAIL")</f>
        <v/>
      </c>
    </row>
    <row r="45">
      <c r="A45" s="1" t="inlineStr">
        <is>
          <t>RESERVES — STOCK &amp; FLOW (net reserve liabilities)</t>
        </is>
      </c>
    </row>
    <row r="46">
      <c r="A46" s="5" t="inlineStr">
        <is>
          <t>Reserves — beginning</t>
        </is>
      </c>
      <c r="B46" s="6" t="n">
        <v>225899</v>
      </c>
      <c r="C46" s="6" t="n">
        <v>225926</v>
      </c>
      <c r="D46" s="6" t="n">
        <v>241666</v>
      </c>
      <c r="E46" s="6" t="n">
        <v>254572</v>
      </c>
      <c r="F46" s="6" t="n">
        <v>266451</v>
      </c>
      <c r="G46" s="6" t="n">
        <v>271233</v>
      </c>
      <c r="H46" s="7" t="n"/>
    </row>
    <row r="47">
      <c r="A47" s="5" t="inlineStr">
        <is>
          <t>+ Net inflows (Athene share)</t>
        </is>
      </c>
      <c r="B47" s="6" t="n">
        <v>9126</v>
      </c>
      <c r="C47" s="6" t="n">
        <v>20323</v>
      </c>
      <c r="D47" s="6" t="n">
        <v>16075</v>
      </c>
      <c r="E47" s="6" t="n">
        <v>17695</v>
      </c>
      <c r="F47" s="6" t="n">
        <v>10565</v>
      </c>
      <c r="G47" s="6" t="n">
        <v>16062</v>
      </c>
      <c r="H47" s="7" t="n"/>
    </row>
    <row r="48">
      <c r="A48" s="5" t="inlineStr">
        <is>
          <t>− Net withdrawals</t>
        </is>
      </c>
      <c r="B48" s="6" t="n">
        <v>-5697</v>
      </c>
      <c r="C48" s="6" t="n">
        <v>-7017</v>
      </c>
      <c r="D48" s="6" t="n">
        <v>-5813</v>
      </c>
      <c r="E48" s="6" t="n">
        <v>-9181</v>
      </c>
      <c r="F48" s="6" t="n">
        <v>-7714</v>
      </c>
      <c r="G48" s="6" t="n">
        <v>-8612</v>
      </c>
      <c r="H48" s="7" t="n"/>
    </row>
    <row r="49">
      <c r="A49" s="5" t="inlineStr">
        <is>
          <t>± ACRA ownership changes</t>
        </is>
      </c>
      <c r="B49" s="6" t="n">
        <v>-1774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7" t="n"/>
    </row>
    <row r="50">
      <c r="A50" s="5" t="inlineStr">
        <is>
          <t>+ Other reserve changes (credited interest &amp; misc)</t>
        </is>
      </c>
      <c r="B50" s="6" t="n">
        <v>-1628</v>
      </c>
      <c r="C50" s="6" t="n">
        <v>2434</v>
      </c>
      <c r="D50" s="6" t="n">
        <v>2644</v>
      </c>
      <c r="E50" s="6" t="n">
        <v>3365</v>
      </c>
      <c r="F50" s="6" t="n">
        <v>1931</v>
      </c>
      <c r="G50" s="6" t="n">
        <v>506</v>
      </c>
      <c r="H50" s="7" t="n"/>
    </row>
    <row r="51">
      <c r="A51" s="8" t="inlineStr">
        <is>
          <t>= Reserves — ending</t>
        </is>
      </c>
      <c r="B51" s="9">
        <f>SUM(B46:B50)</f>
        <v/>
      </c>
      <c r="C51" s="9">
        <f>SUM(C46:C50)</f>
        <v/>
      </c>
      <c r="D51" s="9">
        <f>SUM(D46:D50)</f>
        <v/>
      </c>
      <c r="E51" s="9">
        <f>SUM(E46:E50)</f>
        <v/>
      </c>
      <c r="F51" s="9">
        <f>SUM(F46:F50)</f>
        <v/>
      </c>
      <c r="G51" s="9">
        <f>SUM(G46:G50)</f>
        <v/>
      </c>
    </row>
    <row r="52">
      <c r="A52" s="5" t="inlineStr">
        <is>
          <t xml:space="preserve">   reported ending (filed)</t>
        </is>
      </c>
      <c r="B52" s="6" t="n">
        <v>225926</v>
      </c>
      <c r="C52" s="6" t="n">
        <v>241666</v>
      </c>
      <c r="D52" s="6" t="n">
        <v>254572</v>
      </c>
      <c r="E52" s="6" t="n">
        <v>266451</v>
      </c>
      <c r="F52" s="6" t="n">
        <v>271233</v>
      </c>
      <c r="G52" s="6" t="n">
        <v>279189</v>
      </c>
      <c r="H52" s="7" t="n"/>
    </row>
    <row r="53">
      <c r="A53" s="2" t="inlineStr">
        <is>
          <t xml:space="preserve">   check: identity</t>
        </is>
      </c>
      <c r="B53" s="2">
        <f>IF(B51=B52,"OK","FAIL")</f>
        <v/>
      </c>
      <c r="C53" s="2">
        <f>IF(C51=C52,"OK","FAIL")</f>
        <v/>
      </c>
      <c r="D53" s="2">
        <f>IF(D51=D52,"OK","FAIL")</f>
        <v/>
      </c>
      <c r="E53" s="2">
        <f>IF(E51=E52,"OK","FAIL")</f>
        <v/>
      </c>
      <c r="F53" s="2">
        <f>IF(F51=F52,"OK","FAIL")</f>
        <v/>
      </c>
      <c r="G53" s="2">
        <f>IF(G51=G52,"OK","FAIL")</f>
        <v/>
      </c>
    </row>
    <row r="54">
      <c r="A54" s="2" t="inlineStr">
        <is>
          <t xml:space="preserve">   check: continuity (begin = prior end)</t>
        </is>
      </c>
      <c r="B54" s="2" t="inlineStr">
        <is>
          <t>n/a</t>
        </is>
      </c>
      <c r="C54" s="2">
        <f>IF(C46=B52,"OK","FAIL")</f>
        <v/>
      </c>
      <c r="D54" s="2">
        <f>IF(D46=C52,"OK","FAIL")</f>
        <v/>
      </c>
      <c r="E54" s="2">
        <f>IF(E46=D52,"OK","FAIL")</f>
        <v/>
      </c>
      <c r="F54" s="2">
        <f>IF(F46=E52,"OK","FAIL")</f>
        <v/>
      </c>
      <c r="G54" s="2">
        <f>IF(G46=F52,"OK","FAIL")</f>
        <v/>
      </c>
    </row>
    <row r="56">
      <c r="A56" s="1" t="inlineStr">
        <is>
          <t>THE SIDECAR LEDGER — ACRA noncontrolling interests reserves</t>
        </is>
      </c>
    </row>
    <row r="57">
      <c r="A57" s="5" t="inlineStr">
        <is>
          <t>ACRA reserves — beginning</t>
        </is>
      </c>
      <c r="B57" s="6" t="n">
        <v>68092</v>
      </c>
      <c r="C57" s="6" t="n">
        <v>72164</v>
      </c>
      <c r="D57" s="6" t="n">
        <v>76842</v>
      </c>
      <c r="E57" s="6" t="n">
        <v>81809</v>
      </c>
      <c r="F57" s="6" t="n">
        <v>86826</v>
      </c>
      <c r="G57" s="6" t="n">
        <v>89725</v>
      </c>
      <c r="H57" s="7" t="n"/>
    </row>
    <row r="58">
      <c r="A58" s="5" t="inlineStr">
        <is>
          <t>+ Inflows</t>
        </is>
      </c>
      <c r="B58" s="6" t="n">
        <v>4418</v>
      </c>
      <c r="C58" s="6" t="n">
        <v>5011</v>
      </c>
      <c r="D58" s="6" t="n">
        <v>5091</v>
      </c>
      <c r="E58" s="6" t="n">
        <v>5167</v>
      </c>
      <c r="F58" s="6" t="n">
        <v>3723</v>
      </c>
      <c r="G58" s="6" t="n">
        <v>3470</v>
      </c>
      <c r="H58" s="7" t="n"/>
    </row>
    <row r="59">
      <c r="A59" s="5" t="inlineStr">
        <is>
          <t>− Withdrawals</t>
        </is>
      </c>
      <c r="B59" s="6" t="n">
        <v>-1439</v>
      </c>
      <c r="C59" s="6" t="n">
        <v>-1375</v>
      </c>
      <c r="D59" s="6" t="n">
        <v>-1417</v>
      </c>
      <c r="E59" s="6" t="n">
        <v>-1457</v>
      </c>
      <c r="F59" s="6" t="n">
        <v>-1554</v>
      </c>
      <c r="G59" s="6" t="n">
        <v>-2156</v>
      </c>
      <c r="H59" s="7" t="n"/>
    </row>
    <row r="60">
      <c r="A60" s="5" t="inlineStr">
        <is>
          <t>± ACRA ownership changes</t>
        </is>
      </c>
      <c r="B60" s="6" t="n">
        <v>1774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7" t="n"/>
    </row>
    <row r="61">
      <c r="A61" s="5" t="inlineStr">
        <is>
          <t>+ Other reserve changes</t>
        </is>
      </c>
      <c r="B61" s="6" t="n">
        <v>-681</v>
      </c>
      <c r="C61" s="6" t="n">
        <v>1042</v>
      </c>
      <c r="D61" s="6" t="n">
        <v>1293</v>
      </c>
      <c r="E61" s="6" t="n">
        <v>1307</v>
      </c>
      <c r="F61" s="6" t="n">
        <v>730</v>
      </c>
      <c r="G61" s="6" t="n">
        <v>279</v>
      </c>
      <c r="H61" s="7" t="n"/>
    </row>
    <row r="62">
      <c r="A62" s="8" t="inlineStr">
        <is>
          <t>= ACRA reserves — ending</t>
        </is>
      </c>
      <c r="B62" s="9">
        <f>SUM(B57:B61)</f>
        <v/>
      </c>
      <c r="C62" s="9">
        <f>SUM(C57:C61)</f>
        <v/>
      </c>
      <c r="D62" s="9">
        <f>SUM(D57:D61)</f>
        <v/>
      </c>
      <c r="E62" s="9">
        <f>SUM(E57:E61)</f>
        <v/>
      </c>
      <c r="F62" s="9">
        <f>SUM(F57:F61)</f>
        <v/>
      </c>
      <c r="G62" s="9">
        <f>SUM(G57:G61)</f>
        <v/>
      </c>
    </row>
    <row r="63">
      <c r="A63" s="5" t="inlineStr">
        <is>
          <t xml:space="preserve">   reported ending (filed)</t>
        </is>
      </c>
      <c r="B63" s="6" t="n">
        <v>72164</v>
      </c>
      <c r="C63" s="6" t="n">
        <v>76842</v>
      </c>
      <c r="D63" s="6" t="n">
        <v>81809</v>
      </c>
      <c r="E63" s="6" t="n">
        <v>86826</v>
      </c>
      <c r="F63" s="6" t="n">
        <v>89725</v>
      </c>
      <c r="G63" s="6" t="n">
        <v>91318</v>
      </c>
      <c r="H63" s="7" t="n"/>
    </row>
    <row r="64">
      <c r="A64" s="2" t="inlineStr">
        <is>
          <t xml:space="preserve">   check</t>
        </is>
      </c>
      <c r="B64" s="2">
        <f>IF(B62=B63,"OK","FAIL")</f>
        <v/>
      </c>
      <c r="C64" s="2">
        <f>IF(C62=C63,"OK","FAIL")</f>
        <v/>
      </c>
      <c r="D64" s="2">
        <f>IF(D62=D63,"OK","FAIL")</f>
        <v/>
      </c>
      <c r="E64" s="2">
        <f>IF(E62=E63,"OK","FAIL")</f>
        <v/>
      </c>
      <c r="F64" s="2">
        <f>IF(F62=F63,"OK","FAIL")</f>
        <v/>
      </c>
      <c r="G64" s="2">
        <f>IF(G62=G63,"OK","FAIL")</f>
        <v/>
      </c>
    </row>
    <row r="66">
      <c r="A66" s="1" t="inlineStr">
        <is>
          <t>RESERVE STOCK BY PRODUCT (period-ends / year-ends)</t>
        </is>
      </c>
    </row>
    <row r="67">
      <c r="A67" s="5" t="inlineStr">
        <is>
          <t>Indexed annuities</t>
        </is>
      </c>
      <c r="B67" s="6" t="n">
        <v>82711</v>
      </c>
      <c r="C67" s="6" t="n"/>
      <c r="D67" s="6" t="n"/>
      <c r="E67" s="6" t="n"/>
      <c r="F67" s="6" t="n">
        <v>87322</v>
      </c>
      <c r="G67" s="6" t="n">
        <v>86377</v>
      </c>
      <c r="H67" s="7" t="n"/>
    </row>
    <row r="68">
      <c r="A68" s="5" t="inlineStr">
        <is>
          <t>Fixed rate annuities</t>
        </is>
      </c>
      <c r="B68" s="6" t="n">
        <v>62705</v>
      </c>
      <c r="C68" s="6" t="n"/>
      <c r="D68" s="6" t="n"/>
      <c r="E68" s="6" t="n"/>
      <c r="F68" s="6" t="n">
        <v>77774</v>
      </c>
      <c r="G68" s="6" t="n">
        <v>82324</v>
      </c>
      <c r="H68" s="7" t="n"/>
    </row>
    <row r="69">
      <c r="A69" s="8" t="inlineStr">
        <is>
          <t>= Total deferred annuities</t>
        </is>
      </c>
      <c r="B69" s="9">
        <f>B67+B68</f>
        <v/>
      </c>
      <c r="C69" s="9">
        <f>C67+C68</f>
        <v/>
      </c>
      <c r="D69" s="9">
        <f>D67+D68</f>
        <v/>
      </c>
      <c r="E69" s="9">
        <f>E67+E68</f>
        <v/>
      </c>
      <c r="F69" s="9">
        <f>F67+F68</f>
        <v/>
      </c>
      <c r="G69" s="9">
        <f>G67+G68</f>
        <v/>
      </c>
    </row>
    <row r="70">
      <c r="A70" s="5" t="inlineStr">
        <is>
          <t>Pension group annuities</t>
        </is>
      </c>
      <c r="B70" s="6" t="n">
        <v>24986</v>
      </c>
      <c r="C70" s="6" t="n"/>
      <c r="D70" s="6" t="n"/>
      <c r="E70" s="6" t="n"/>
      <c r="F70" s="6" t="n">
        <v>25088</v>
      </c>
      <c r="G70" s="6" t="n">
        <v>24249</v>
      </c>
      <c r="H70" s="7" t="n"/>
    </row>
    <row r="71">
      <c r="A71" s="5" t="inlineStr">
        <is>
          <t>Payout annuities</t>
        </is>
      </c>
      <c r="B71" s="6" t="n">
        <v>4701</v>
      </c>
      <c r="C71" s="6" t="n"/>
      <c r="D71" s="6" t="n"/>
      <c r="E71" s="6" t="n"/>
      <c r="F71" s="6" t="n">
        <v>5066</v>
      </c>
      <c r="G71" s="6" t="n">
        <v>5239</v>
      </c>
      <c r="H71" s="7" t="n"/>
    </row>
    <row r="72">
      <c r="A72" s="5" t="inlineStr">
        <is>
          <t>Funding agreements (the runnable slice)</t>
        </is>
      </c>
      <c r="B72" s="6" t="n">
        <v>47384</v>
      </c>
      <c r="C72" s="6" t="n"/>
      <c r="D72" s="6" t="n"/>
      <c r="E72" s="6" t="n"/>
      <c r="F72" s="6" t="n">
        <v>71433</v>
      </c>
      <c r="G72" s="6" t="n">
        <v>75962</v>
      </c>
      <c r="H72" s="7" t="n"/>
    </row>
    <row r="73">
      <c r="A73" s="5" t="inlineStr">
        <is>
          <t>Life and other</t>
        </is>
      </c>
      <c r="B73" s="6" t="n">
        <v>3439</v>
      </c>
      <c r="C73" s="6" t="n"/>
      <c r="D73" s="6" t="n"/>
      <c r="E73" s="6" t="n"/>
      <c r="F73" s="6" t="n">
        <v>4550</v>
      </c>
      <c r="G73" s="6" t="n">
        <v>5038</v>
      </c>
      <c r="H73" s="7" t="n"/>
    </row>
    <row r="74">
      <c r="A74" s="8" t="inlineStr">
        <is>
          <t>= Total net reserve liabilities</t>
        </is>
      </c>
      <c r="B74" s="9">
        <f>B69+SUM(B70:B73)</f>
        <v/>
      </c>
      <c r="C74" s="9">
        <f>C69+SUM(C70:C73)</f>
        <v/>
      </c>
      <c r="D74" s="9">
        <f>D69+SUM(D70:D73)</f>
        <v/>
      </c>
      <c r="E74" s="9">
        <f>E69+SUM(E70:E73)</f>
        <v/>
      </c>
      <c r="F74" s="9">
        <f>F69+SUM(F70:F73)</f>
        <v/>
      </c>
      <c r="G74" s="9">
        <f>G69+SUM(G70:G73)</f>
        <v/>
      </c>
    </row>
    <row r="75">
      <c r="A75" s="5" t="inlineStr">
        <is>
          <t xml:space="preserve">   reported total (filed)</t>
        </is>
      </c>
      <c r="B75" s="6" t="n">
        <v>225926</v>
      </c>
      <c r="C75" s="6" t="n"/>
      <c r="D75" s="6" t="n"/>
      <c r="E75" s="6" t="n"/>
      <c r="F75" s="6" t="n">
        <v>271233</v>
      </c>
      <c r="G75" s="6" t="n">
        <v>279189</v>
      </c>
      <c r="H75" s="7" t="n"/>
    </row>
    <row r="76">
      <c r="A76" s="2" t="inlineStr">
        <is>
          <t xml:space="preserve">   check (only where period-end filed)</t>
        </is>
      </c>
      <c r="B76" s="2">
        <f>IF(B75="","n/a",IF(B74=B75,"OK","FAIL"))</f>
        <v/>
      </c>
      <c r="C76" s="2">
        <f>IF(C75="","n/a",IF(C74=C75,"OK","FAIL"))</f>
        <v/>
      </c>
      <c r="D76" s="2">
        <f>IF(D75="","n/a",IF(D74=D75,"OK","FAIL"))</f>
        <v/>
      </c>
      <c r="E76" s="2">
        <f>IF(E75="","n/a",IF(E74=E75,"OK","FAIL"))</f>
        <v/>
      </c>
      <c r="F76" s="2">
        <f>IF(F75="","n/a",IF(F74=F75,"OK","FAIL"))</f>
        <v/>
      </c>
      <c r="G76" s="2">
        <f>IF(G75="","n/a",IF(G74=G75,"OK","FAIL"))</f>
        <v/>
      </c>
    </row>
    <row r="78">
      <c r="A78" s="1" t="inlineStr">
        <is>
          <t>THE INCOME ENGINE — spread related earnings</t>
        </is>
      </c>
    </row>
    <row r="79">
      <c r="A79" s="5" t="inlineStr">
        <is>
          <t>Fixed income &amp; other net investment income</t>
        </is>
      </c>
      <c r="B79" s="6" t="n">
        <v>2914</v>
      </c>
      <c r="C79" s="6" t="n">
        <v>2916</v>
      </c>
      <c r="D79" s="6" t="n">
        <v>3180</v>
      </c>
      <c r="E79" s="6" t="n">
        <v>3425</v>
      </c>
      <c r="F79" s="6" t="n">
        <v>3505</v>
      </c>
      <c r="G79" s="6" t="n">
        <v>3551</v>
      </c>
      <c r="H79" s="7" t="n"/>
    </row>
    <row r="80">
      <c r="A80" s="5" t="inlineStr">
        <is>
          <t>Alternatives net investment income</t>
        </is>
      </c>
      <c r="B80" s="6" t="n">
        <v>269</v>
      </c>
      <c r="C80" s="6" t="n">
        <v>315</v>
      </c>
      <c r="D80" s="6" t="n">
        <v>319</v>
      </c>
      <c r="E80" s="6" t="n">
        <v>321</v>
      </c>
      <c r="F80" s="6" t="n">
        <v>344</v>
      </c>
      <c r="G80" s="6" t="n">
        <v>210</v>
      </c>
      <c r="H80" s="7" t="n"/>
    </row>
    <row r="81">
      <c r="A81" s="8" t="inlineStr">
        <is>
          <t>= Net investment earnings</t>
        </is>
      </c>
      <c r="B81" s="9">
        <f>B79+B80</f>
        <v/>
      </c>
      <c r="C81" s="9">
        <f>C79+C80</f>
        <v/>
      </c>
      <c r="D81" s="9">
        <f>D79+D80</f>
        <v/>
      </c>
      <c r="E81" s="9">
        <f>E79+E80</f>
        <v/>
      </c>
      <c r="F81" s="9">
        <f>F79+F80</f>
        <v/>
      </c>
      <c r="G81" s="9">
        <f>G79+G80</f>
        <v/>
      </c>
    </row>
    <row r="82">
      <c r="A82" s="5" t="inlineStr">
        <is>
          <t>+ Strategic capital management fees</t>
        </is>
      </c>
      <c r="B82" s="6" t="n">
        <v>29</v>
      </c>
      <c r="C82" s="6" t="n">
        <v>29</v>
      </c>
      <c r="D82" s="6" t="n">
        <v>32</v>
      </c>
      <c r="E82" s="6" t="n">
        <v>35</v>
      </c>
      <c r="F82" s="6" t="n">
        <v>35</v>
      </c>
      <c r="G82" s="6" t="n">
        <v>36</v>
      </c>
      <c r="H82" s="7" t="n"/>
    </row>
    <row r="83">
      <c r="A83" s="5" t="inlineStr">
        <is>
          <t>− Cost of funds (what the float costs)</t>
        </is>
      </c>
      <c r="B83" s="6" t="n">
        <v>-2116</v>
      </c>
      <c r="C83" s="6" t="n">
        <v>-2210</v>
      </c>
      <c r="D83" s="6" t="n">
        <v>-2470</v>
      </c>
      <c r="E83" s="6" t="n">
        <v>-2661</v>
      </c>
      <c r="F83" s="6" t="n">
        <v>-2742</v>
      </c>
      <c r="G83" s="6" t="n">
        <v>-2807</v>
      </c>
      <c r="H83" s="7" t="n"/>
    </row>
    <row r="84">
      <c r="A84" s="8" t="inlineStr">
        <is>
          <t>= NET INVESTMENT SPREAD</t>
        </is>
      </c>
      <c r="B84" s="9">
        <f>SUM(B81:B83)</f>
        <v/>
      </c>
      <c r="C84" s="9">
        <f>SUM(C81:C83)</f>
        <v/>
      </c>
      <c r="D84" s="9">
        <f>SUM(D81:D83)</f>
        <v/>
      </c>
      <c r="E84" s="9">
        <f>SUM(E81:E83)</f>
        <v/>
      </c>
      <c r="F84" s="9">
        <f>SUM(F81:F83)</f>
        <v/>
      </c>
      <c r="G84" s="9">
        <f>SUM(G81:G83)</f>
        <v/>
      </c>
    </row>
    <row r="85">
      <c r="A85" s="5" t="inlineStr">
        <is>
          <t xml:space="preserve">   reported (filed)</t>
        </is>
      </c>
      <c r="B85" s="6" t="n">
        <v>1096</v>
      </c>
      <c r="C85" s="6" t="n">
        <v>1050</v>
      </c>
      <c r="D85" s="6" t="n">
        <v>1061</v>
      </c>
      <c r="E85" s="6" t="n">
        <v>1120</v>
      </c>
      <c r="F85" s="6" t="n">
        <v>1142</v>
      </c>
      <c r="G85" s="6" t="n">
        <v>990</v>
      </c>
      <c r="H85" s="7" t="n"/>
    </row>
    <row r="86">
      <c r="A86" s="2" t="inlineStr">
        <is>
          <t xml:space="preserve">   check</t>
        </is>
      </c>
      <c r="B86" s="2">
        <f>IF(B84=B85,"OK","FAIL")</f>
        <v/>
      </c>
      <c r="C86" s="2">
        <f>IF(C84=C85,"OK","FAIL")</f>
        <v/>
      </c>
      <c r="D86" s="2">
        <f>IF(D84=D85,"OK","FAIL")</f>
        <v/>
      </c>
      <c r="E86" s="2">
        <f>IF(E84=E85,"OK","FAIL")</f>
        <v/>
      </c>
      <c r="F86" s="2">
        <f>IF(F84=F85,"OK","FAIL")</f>
        <v/>
      </c>
      <c r="G86" s="2">
        <f>IF(G84=G85,"OK","FAIL")</f>
        <v/>
      </c>
    </row>
    <row r="87">
      <c r="A87" s="5" t="inlineStr">
        <is>
          <t>− Other operating expenses</t>
        </is>
      </c>
      <c r="B87" s="6" t="n">
        <v>-121</v>
      </c>
      <c r="C87" s="6" t="n">
        <v>-116</v>
      </c>
      <c r="D87" s="6" t="n">
        <v>-109</v>
      </c>
      <c r="E87" s="6" t="n">
        <v>-108</v>
      </c>
      <c r="F87" s="6" t="n">
        <v>-119</v>
      </c>
      <c r="G87" s="6" t="n">
        <v>-118</v>
      </c>
      <c r="H87" s="7" t="n"/>
    </row>
    <row r="88">
      <c r="A88" s="5" t="inlineStr">
        <is>
          <t>− Interest &amp; other financing costs</t>
        </is>
      </c>
      <c r="B88" s="6" t="n">
        <v>-137</v>
      </c>
      <c r="C88" s="6" t="n">
        <v>-130</v>
      </c>
      <c r="D88" s="6" t="n">
        <v>-132</v>
      </c>
      <c r="E88" s="6" t="n">
        <v>-140</v>
      </c>
      <c r="F88" s="6" t="n">
        <v>-158</v>
      </c>
      <c r="G88" s="6" t="n">
        <v>-153</v>
      </c>
      <c r="H88" s="7" t="n"/>
    </row>
    <row r="89">
      <c r="A89" s="8" t="inlineStr">
        <is>
          <t>= SPREAD RELATED EARNINGS</t>
        </is>
      </c>
      <c r="B89" s="9">
        <f>B84+B87+B88</f>
        <v/>
      </c>
      <c r="C89" s="9">
        <f>C84+C87+C88</f>
        <v/>
      </c>
      <c r="D89" s="9">
        <f>D84+D87+D88</f>
        <v/>
      </c>
      <c r="E89" s="9">
        <f>E84+E87+E88</f>
        <v/>
      </c>
      <c r="F89" s="9">
        <f>F84+F87+F88</f>
        <v/>
      </c>
      <c r="G89" s="9">
        <f>G84+G87+G88</f>
        <v/>
      </c>
    </row>
    <row r="90">
      <c r="A90" s="5" t="inlineStr">
        <is>
          <t xml:space="preserve">   reported (filed)</t>
        </is>
      </c>
      <c r="B90" s="6" t="n">
        <v>838</v>
      </c>
      <c r="C90" s="6" t="n">
        <v>804</v>
      </c>
      <c r="D90" s="6" t="n">
        <v>820</v>
      </c>
      <c r="E90" s="6" t="n">
        <v>872</v>
      </c>
      <c r="F90" s="6" t="n">
        <v>865</v>
      </c>
      <c r="G90" s="6" t="n">
        <v>719</v>
      </c>
      <c r="H90" s="7" t="n"/>
    </row>
    <row r="91">
      <c r="A91" s="2" t="inlineStr">
        <is>
          <t xml:space="preserve">   check</t>
        </is>
      </c>
      <c r="B91" s="2">
        <f>IF(B89=B90,"OK","FAIL")</f>
        <v/>
      </c>
      <c r="C91" s="2">
        <f>IF(C89=C90,"OK","FAIL")</f>
        <v/>
      </c>
      <c r="D91" s="2">
        <f>IF(D89=D90,"OK","FAIL")</f>
        <v/>
      </c>
      <c r="E91" s="2">
        <f>IF(E89=E90,"OK","FAIL")</f>
        <v/>
      </c>
      <c r="F91" s="2">
        <f>IF(F89=F90,"OK","FAIL")</f>
        <v/>
      </c>
      <c r="G91" s="2">
        <f>IF(G89=G90,"OK","FAIL")</f>
        <v/>
      </c>
    </row>
    <row r="93">
      <c r="A93" s="1" t="inlineStr">
        <is>
          <t>THE RATES (annualized, as filed)</t>
        </is>
      </c>
    </row>
    <row r="94">
      <c r="A94" s="5" t="inlineStr">
        <is>
          <t>Earned — fixed income &amp; other</t>
        </is>
      </c>
      <c r="B94" s="10" t="n">
        <v>0.05</v>
      </c>
      <c r="C94" s="10" t="n">
        <v>0.048</v>
      </c>
      <c r="D94" s="10" t="n">
        <v>0.04969999999999999</v>
      </c>
      <c r="E94" s="10" t="n">
        <v>0.0512</v>
      </c>
      <c r="F94" s="10" t="n">
        <v>0.0508</v>
      </c>
      <c r="G94" s="10" t="n">
        <v>0.0504</v>
      </c>
      <c r="H94" s="7" t="n"/>
    </row>
    <row r="95">
      <c r="A95" s="5" t="inlineStr">
        <is>
          <t>Earned — alternatives</t>
        </is>
      </c>
      <c r="B95" s="10" t="n">
        <v>0.0925</v>
      </c>
      <c r="C95" s="10" t="n">
        <v>0.1008</v>
      </c>
      <c r="D95" s="10" t="n">
        <v>0.09859999999999999</v>
      </c>
      <c r="E95" s="10" t="n">
        <v>0.09880000000000001</v>
      </c>
      <c r="F95" s="10" t="n">
        <v>0.1019</v>
      </c>
      <c r="G95" s="10" t="n">
        <v>0.0579</v>
      </c>
      <c r="H95" s="7" t="n"/>
    </row>
    <row r="96">
      <c r="A96" s="5" t="inlineStr">
        <is>
          <t>Earned — total</t>
        </is>
      </c>
      <c r="B96" s="10" t="n">
        <v>0.052</v>
      </c>
      <c r="C96" s="10" t="n">
        <v>0.0506</v>
      </c>
      <c r="D96" s="10" t="n">
        <v>0.0521</v>
      </c>
      <c r="E96" s="10" t="n">
        <v>0.0534</v>
      </c>
      <c r="F96" s="10" t="n">
        <v>0.0532</v>
      </c>
      <c r="G96" s="10" t="n">
        <v>0.0508</v>
      </c>
      <c r="H96" s="7" t="n"/>
    </row>
    <row r="97">
      <c r="A97" s="5" t="inlineStr">
        <is>
          <t>Cost of funds</t>
        </is>
      </c>
      <c r="B97" s="10" t="n">
        <v>-0.0346</v>
      </c>
      <c r="C97" s="10" t="n">
        <v>-0.0346</v>
      </c>
      <c r="D97" s="10" t="n">
        <v>-0.0368</v>
      </c>
      <c r="E97" s="10" t="n">
        <v>-0.0379</v>
      </c>
      <c r="F97" s="10" t="n">
        <v>-0.0379</v>
      </c>
      <c r="G97" s="10" t="n">
        <v>-0.0379</v>
      </c>
      <c r="H97" s="7" t="n"/>
    </row>
    <row r="98">
      <c r="A98" s="5" t="inlineStr">
        <is>
          <t>NET INVESTMENT SPREAD %</t>
        </is>
      </c>
      <c r="B98" s="10" t="n">
        <v>0.0179</v>
      </c>
      <c r="C98" s="10" t="n">
        <v>0.0165</v>
      </c>
      <c r="D98" s="10" t="n">
        <v>0.0158</v>
      </c>
      <c r="E98" s="10" t="n">
        <v>0.016</v>
      </c>
      <c r="F98" s="10" t="n">
        <v>0.0158</v>
      </c>
      <c r="G98" s="10" t="n">
        <v>0.0134</v>
      </c>
      <c r="H98" s="7" t="n"/>
    </row>
    <row r="99">
      <c r="A99" s="5" t="inlineStr">
        <is>
          <t>SRE margin %</t>
        </is>
      </c>
      <c r="B99" s="10" t="n">
        <v>0.0137</v>
      </c>
      <c r="C99" s="10" t="n">
        <v>0.0126</v>
      </c>
      <c r="D99" s="10" t="n">
        <v>0.0122</v>
      </c>
      <c r="E99" s="10" t="n">
        <v>0.0124</v>
      </c>
      <c r="F99" s="10" t="n">
        <v>0.012</v>
      </c>
      <c r="G99" s="10" t="n">
        <v>0.0097</v>
      </c>
      <c r="H99" s="7" t="n"/>
    </row>
    <row r="101">
      <c r="A101" s="1" t="inlineStr">
        <is>
          <t>THE DENOMINATOR &amp; DERIVED</t>
        </is>
      </c>
    </row>
    <row r="102">
      <c r="A102" s="5" t="inlineStr">
        <is>
          <t>Average net invested assets — fixed income</t>
        </is>
      </c>
      <c r="B102" s="6" t="n">
        <v>233153</v>
      </c>
      <c r="C102" s="6" t="n">
        <v>242999</v>
      </c>
      <c r="D102" s="6" t="n">
        <v>255789</v>
      </c>
      <c r="E102" s="6" t="n">
        <v>267607</v>
      </c>
      <c r="F102" s="6" t="n">
        <v>275769</v>
      </c>
      <c r="G102" s="6" t="n">
        <v>281872</v>
      </c>
      <c r="H102" s="7" t="n"/>
    </row>
    <row r="103">
      <c r="A103" s="5" t="inlineStr">
        <is>
          <t>Average net invested assets — alternatives</t>
        </is>
      </c>
      <c r="B103" s="6" t="n">
        <v>11643</v>
      </c>
      <c r="C103" s="6" t="n">
        <v>12506</v>
      </c>
      <c r="D103" s="6" t="n">
        <v>12914</v>
      </c>
      <c r="E103" s="6" t="n">
        <v>13000</v>
      </c>
      <c r="F103" s="6" t="n">
        <v>13526</v>
      </c>
      <c r="G103" s="6" t="n">
        <v>14480</v>
      </c>
      <c r="H103" s="7" t="n"/>
    </row>
    <row r="104">
      <c r="A104" s="8" t="inlineStr">
        <is>
          <t>= Average net invested assets</t>
        </is>
      </c>
      <c r="B104" s="9">
        <f>B102+B103</f>
        <v/>
      </c>
      <c r="C104" s="9">
        <f>C102+C103</f>
        <v/>
      </c>
      <c r="D104" s="9">
        <f>D102+D103</f>
        <v/>
      </c>
      <c r="E104" s="9">
        <f>E102+E103</f>
        <v/>
      </c>
      <c r="F104" s="9">
        <f>F102+F103</f>
        <v/>
      </c>
      <c r="G104" s="9">
        <f>G102+G103</f>
        <v/>
      </c>
    </row>
    <row r="105">
      <c r="A105" s="8" t="inlineStr">
        <is>
          <t>Derived NIS % (spread ×4 ÷ avg assets)</t>
        </is>
      </c>
      <c r="B105" s="11">
        <f>IF(OR(B104=0,B104=""),"",B84*4/B104)</f>
        <v/>
      </c>
      <c r="C105" s="11">
        <f>IF(OR(C104=0,C104=""),"",C84*4/C104)</f>
        <v/>
      </c>
      <c r="D105" s="11">
        <f>IF(OR(D104=0,D104=""),"",D84*4/D104)</f>
        <v/>
      </c>
      <c r="E105" s="11">
        <f>IF(OR(E104=0,E104=""),"",E84*4/E104)</f>
        <v/>
      </c>
      <c r="F105" s="11">
        <f>IF(OR(F104=0,F104=""),"",F84*4/F104)</f>
        <v/>
      </c>
      <c r="G105" s="11">
        <f>IF(OR(G104=0,G104=""),"",G84*4/G104)</f>
        <v/>
      </c>
    </row>
    <row r="106">
      <c r="A106" s="2" t="inlineStr">
        <is>
          <t xml:space="preserve">   check vs filed NIS % (±5bp rounding)</t>
        </is>
      </c>
      <c r="B106" s="2">
        <f>IF(B105="","n/a",IF(ABS(B105-B98)&lt;0.0005,"OK","FAIL"))</f>
        <v/>
      </c>
      <c r="C106" s="2">
        <f>IF(C105="","n/a",IF(ABS(C105-C98)&lt;0.0005,"OK","FAIL"))</f>
        <v/>
      </c>
      <c r="D106" s="2">
        <f>IF(D105="","n/a",IF(ABS(D105-D98)&lt;0.0005,"OK","FAIL"))</f>
        <v/>
      </c>
      <c r="E106" s="2">
        <f>IF(E105="","n/a",IF(ABS(E105-E98)&lt;0.0005,"OK","FAIL"))</f>
        <v/>
      </c>
      <c r="F106" s="2">
        <f>IF(F105="","n/a",IF(ABS(F105-F98)&lt;0.0005,"OK","FAIL"))</f>
        <v/>
      </c>
      <c r="G106" s="2">
        <f>IF(G105="","n/a",IF(ABS(G105-G98)&lt;0.0005,"OK","FAIL"))</f>
        <v/>
      </c>
    </row>
    <row r="108">
      <c r="A108" s="1" t="inlineStr">
        <is>
          <t>THE PORTFOLIO — STATUTORY BOND BOOK, THE FEATURES WE BUILT (year-ends; footed to the dollar)</t>
        </is>
      </c>
    </row>
    <row r="109">
      <c r="A109" s="5" t="inlineStr">
        <is>
          <t>Total bond book (BACV)</t>
        </is>
      </c>
      <c r="B109" s="6" t="n"/>
      <c r="C109" s="6" t="n"/>
      <c r="D109" s="6" t="n"/>
      <c r="E109" s="6" t="n"/>
      <c r="F109" s="6" t="n"/>
      <c r="G109" s="6" t="n"/>
      <c r="H109" s="7" t="n"/>
    </row>
    <row r="110">
      <c r="A110" s="5" t="inlineStr">
        <is>
          <t xml:space="preserve">    NAIC 1 (AAA…A−)</t>
        </is>
      </c>
      <c r="B110" s="6" t="n"/>
      <c r="C110" s="6" t="n"/>
      <c r="D110" s="6" t="n"/>
      <c r="E110" s="6" t="n"/>
      <c r="F110" s="6" t="n"/>
      <c r="G110" s="6" t="n"/>
      <c r="H110" s="7" t="n"/>
    </row>
    <row r="111">
      <c r="A111" s="5" t="inlineStr">
        <is>
          <t xml:space="preserve">    NAIC 2 (BBB band)</t>
        </is>
      </c>
      <c r="B111" s="6" t="n"/>
      <c r="C111" s="6" t="n"/>
      <c r="D111" s="6" t="n"/>
      <c r="E111" s="6" t="n"/>
      <c r="F111" s="6" t="n"/>
      <c r="G111" s="6" t="n"/>
      <c r="H111" s="7" t="n"/>
    </row>
    <row r="112">
      <c r="A112" s="5" t="inlineStr">
        <is>
          <t xml:space="preserve">    Below investment grade (NAIC 3–6)</t>
        </is>
      </c>
      <c r="B112" s="6" t="n"/>
      <c r="C112" s="6" t="n"/>
      <c r="D112" s="6" t="n"/>
      <c r="E112" s="6" t="n"/>
      <c r="F112" s="6" t="n"/>
      <c r="G112" s="6" t="n"/>
      <c r="H112" s="7" t="n"/>
    </row>
    <row r="113">
      <c r="A113" s="2" t="inlineStr">
        <is>
          <t xml:space="preserve">   check: bands sum to total</t>
        </is>
      </c>
      <c r="B113" s="2">
        <f>IF(B109="","n/a",IF(SUM(B110:B112)=B109,"OK","FAIL"))</f>
        <v/>
      </c>
      <c r="C113" s="2">
        <f>IF(C109="","n/a",IF(SUM(C110:C112)=C109,"OK","FAIL"))</f>
        <v/>
      </c>
      <c r="D113" s="2">
        <f>IF(D109="","n/a",IF(SUM(D110:D112)=D109,"OK","FAIL"))</f>
        <v/>
      </c>
      <c r="E113" s="2">
        <f>IF(E109="","n/a",IF(SUM(E110:E112)=E109,"OK","FAIL"))</f>
        <v/>
      </c>
      <c r="F113" s="2">
        <f>IF(F109="","n/a",IF(SUM(F110:F112)=F109,"OK","FAIL"))</f>
        <v/>
      </c>
      <c r="G113" s="2">
        <f>IF(G109="","n/a",IF(SUM(G110:G112)=G109,"OK","FAIL"))</f>
        <v/>
      </c>
    </row>
    <row r="114">
      <c r="A114" s="5" t="inlineStr">
        <is>
          <t xml:space="preserve">    BBB− cliff (2.C) — memo</t>
        </is>
      </c>
      <c r="B114" s="6" t="n"/>
      <c r="C114" s="6" t="n"/>
      <c r="D114" s="6" t="n"/>
      <c r="E114" s="6" t="n"/>
      <c r="F114" s="6" t="n"/>
      <c r="G114" s="6" t="n"/>
      <c r="H114" s="7" t="n"/>
    </row>
    <row r="115">
      <c r="A115" s="5" t="inlineStr">
        <is>
          <t xml:space="preserve">    Publicly rated (FE)</t>
        </is>
      </c>
      <c r="B115" s="6" t="n"/>
      <c r="C115" s="6" t="n"/>
      <c r="D115" s="6" t="n"/>
      <c r="E115" s="6" t="n"/>
      <c r="F115" s="6" t="n"/>
      <c r="G115" s="6" t="n"/>
      <c r="H115" s="7" t="n"/>
    </row>
    <row r="116">
      <c r="A116" s="5" t="inlineStr">
        <is>
          <t xml:space="preserve">    PRIVATE LETTER (PL) — the channel</t>
        </is>
      </c>
      <c r="B116" s="6" t="n"/>
      <c r="C116" s="6" t="n"/>
      <c r="D116" s="6" t="n"/>
      <c r="E116" s="6" t="n"/>
      <c r="F116" s="6" t="n"/>
      <c r="G116" s="6" t="n"/>
      <c r="H116" s="7" t="n"/>
    </row>
    <row r="117">
      <c r="A117" s="5" t="inlineStr">
        <is>
          <t xml:space="preserve">    Modeled (FM)</t>
        </is>
      </c>
      <c r="B117" s="6" t="n"/>
      <c r="C117" s="6" t="n"/>
      <c r="D117" s="6" t="n"/>
      <c r="E117" s="6" t="n"/>
      <c r="F117" s="6" t="n"/>
      <c r="G117" s="6" t="n"/>
      <c r="H117" s="7" t="n"/>
    </row>
    <row r="118">
      <c r="A118" s="5" t="inlineStr">
        <is>
          <t xml:space="preserve">    Self/temporary (Z,YE…)</t>
        </is>
      </c>
      <c r="B118" s="6" t="n"/>
      <c r="C118" s="6" t="n"/>
      <c r="D118" s="6" t="n"/>
      <c r="E118" s="6" t="n"/>
      <c r="F118" s="6" t="n"/>
      <c r="G118" s="6" t="n"/>
      <c r="H118" s="7" t="n"/>
    </row>
    <row r="119">
      <c r="A119" s="5" t="inlineStr">
        <is>
          <t xml:space="preserve">    Exempt/blank</t>
        </is>
      </c>
      <c r="B119" s="6" t="n"/>
      <c r="C119" s="6" t="n"/>
      <c r="D119" s="6" t="n"/>
      <c r="E119" s="6" t="n"/>
      <c r="F119" s="6" t="n"/>
      <c r="G119" s="6" t="n"/>
      <c r="H119" s="7" t="n"/>
    </row>
    <row r="120">
      <c r="A120" s="2" t="inlineStr">
        <is>
          <t xml:space="preserve">   check: sources sum to total</t>
        </is>
      </c>
      <c r="B120" s="2">
        <f>IF(B109="","n/a",IF(SUM(B115:B119)=B109,"OK","FAIL"))</f>
        <v/>
      </c>
      <c r="C120" s="2">
        <f>IF(C109="","n/a",IF(SUM(C115:C119)=C109,"OK","FAIL"))</f>
        <v/>
      </c>
      <c r="D120" s="2">
        <f>IF(D109="","n/a",IF(SUM(D115:D119)=D109,"OK","FAIL"))</f>
        <v/>
      </c>
      <c r="E120" s="2">
        <f>IF(E109="","n/a",IF(SUM(E115:E119)=E109,"OK","FAIL"))</f>
        <v/>
      </c>
      <c r="F120" s="2">
        <f>IF(F109="","n/a",IF(SUM(F115:F119)=F109,"OK","FAIL"))</f>
        <v/>
      </c>
      <c r="G120" s="2">
        <f>IF(G109="","n/a",IF(SUM(G115:G119)=G109,"OK","FAIL"))</f>
        <v/>
      </c>
    </row>
    <row r="121">
      <c r="A121" s="8" t="inlineStr">
        <is>
          <t>= PL share of book</t>
        </is>
      </c>
      <c r="B121" s="11">
        <f>IF(B109="","",B116/B109)</f>
        <v/>
      </c>
      <c r="C121" s="11">
        <f>IF(C109="","",C116/C109)</f>
        <v/>
      </c>
      <c r="D121" s="11">
        <f>IF(D109="","",D116/D109)</f>
        <v/>
      </c>
      <c r="E121" s="11">
        <f>IF(E109="","",E116/E109)</f>
        <v/>
      </c>
      <c r="F121" s="11">
        <f>IF(F109="","",F116/F109)</f>
        <v/>
      </c>
      <c r="G121" s="11">
        <f>IF(G109="","",G116/G109)</f>
        <v/>
      </c>
    </row>
    <row r="122">
      <c r="A122" s="5" t="inlineStr">
        <is>
          <t xml:space="preserve">    CUSIP (public identifier)</t>
        </is>
      </c>
      <c r="B122" s="6" t="n"/>
      <c r="C122" s="6" t="n"/>
      <c r="D122" s="6" t="n"/>
      <c r="E122" s="6" t="n"/>
      <c r="F122" s="6" t="n"/>
      <c r="G122" s="6" t="n"/>
      <c r="H122" s="7" t="n"/>
    </row>
    <row r="123">
      <c r="A123" s="5" t="inlineStr">
        <is>
          <t xml:space="preserve">    PPN (private placement)</t>
        </is>
      </c>
      <c r="B123" s="6" t="n"/>
      <c r="C123" s="6" t="n"/>
      <c r="D123" s="6" t="n"/>
      <c r="E123" s="6" t="n"/>
      <c r="F123" s="6" t="n"/>
      <c r="G123" s="6" t="n"/>
      <c r="H123" s="7" t="n"/>
    </row>
    <row r="124">
      <c r="A124" s="5" t="inlineStr">
        <is>
          <t xml:space="preserve">    No identifier</t>
        </is>
      </c>
      <c r="B124" s="6" t="n"/>
      <c r="C124" s="6" t="n"/>
      <c r="D124" s="6" t="n"/>
      <c r="E124" s="6" t="n"/>
      <c r="F124" s="6" t="n"/>
      <c r="G124" s="6" t="n"/>
      <c r="H124" s="7" t="n"/>
    </row>
    <row r="125">
      <c r="A125" s="8" t="inlineStr">
        <is>
          <t>= Identifier-private floor (PPN + no-ID)</t>
        </is>
      </c>
      <c r="B125" s="9">
        <f>IF(B122="","",B123+B124)</f>
        <v/>
      </c>
      <c r="C125" s="9">
        <f>IF(C122="","",C123+C124)</f>
        <v/>
      </c>
      <c r="D125" s="9">
        <f>IF(D122="","",D123+D124)</f>
        <v/>
      </c>
      <c r="E125" s="9">
        <f>IF(E122="","",E123+E124)</f>
        <v/>
      </c>
      <c r="F125" s="9">
        <f>IF(F122="","",F123+F124)</f>
        <v/>
      </c>
      <c r="G125" s="9">
        <f>IF(G122="","",G123+G124)</f>
        <v/>
      </c>
    </row>
    <row r="126">
      <c r="A126" s="8" t="inlineStr">
        <is>
          <t>= Private floor share of book</t>
        </is>
      </c>
      <c r="B126" s="11">
        <f>IF(B109="","",B125/B109)</f>
        <v/>
      </c>
      <c r="C126" s="11">
        <f>IF(C109="","",C125/C109)</f>
        <v/>
      </c>
      <c r="D126" s="11">
        <f>IF(D109="","",D125/D109)</f>
        <v/>
      </c>
      <c r="E126" s="11">
        <f>IF(E109="","",E125/E109)</f>
        <v/>
      </c>
      <c r="F126" s="11">
        <f>IF(F109="","",F125/F109)</f>
        <v/>
      </c>
      <c r="G126" s="11">
        <f>IF(G109="","",G125/G109)</f>
        <v/>
      </c>
    </row>
    <row r="127">
      <c r="A127" s="2" t="inlineStr">
        <is>
          <t xml:space="preserve">   check: identifiers sum to total</t>
        </is>
      </c>
      <c r="B127" s="2">
        <f>IF(B109="","n/a",IF(SUM(B122:B124)=B109,"OK","FAIL"))</f>
        <v/>
      </c>
      <c r="C127" s="2">
        <f>IF(C109="","n/a",IF(SUM(C122:C124)=C109,"OK","FAIL"))</f>
        <v/>
      </c>
      <c r="D127" s="2">
        <f>IF(D109="","n/a",IF(SUM(D122:D124)=D109,"OK","FAIL"))</f>
        <v/>
      </c>
      <c r="E127" s="2">
        <f>IF(E109="","n/a",IF(SUM(E122:E124)=E109,"OK","FAIL"))</f>
        <v/>
      </c>
      <c r="F127" s="2">
        <f>IF(F109="","n/a",IF(SUM(F122:F124)=F109,"OK","FAIL"))</f>
        <v/>
      </c>
      <c r="G127" s="2">
        <f>IF(G109="","n/a",IF(SUM(G122:G124)=G109,"OK","FAIL"))</f>
        <v/>
      </c>
    </row>
    <row r="129">
      <c r="A129" s="1" t="inlineStr">
        <is>
          <t>THE PORTFOLIO — MANAGEMENT VIEW, NET INVESTED ASSETS BY CLASS (period-ends)</t>
        </is>
      </c>
    </row>
    <row r="130">
      <c r="A130" s="5" t="inlineStr">
        <is>
          <t xml:space="preserve">    Corporate</t>
        </is>
      </c>
      <c r="B130" s="6" t="n">
        <v>86051</v>
      </c>
      <c r="C130" s="6" t="n"/>
      <c r="D130" s="6" t="n"/>
      <c r="E130" s="6" t="n"/>
      <c r="F130" s="6" t="n">
        <v>86664</v>
      </c>
      <c r="G130" s="6" t="n">
        <v>86764</v>
      </c>
      <c r="H130" s="7" t="n"/>
    </row>
    <row r="131">
      <c r="A131" s="5" t="inlineStr">
        <is>
          <t xml:space="preserve">    CLO</t>
        </is>
      </c>
      <c r="B131" s="6" t="n">
        <v>27698</v>
      </c>
      <c r="C131" s="6" t="n"/>
      <c r="D131" s="6" t="n"/>
      <c r="E131" s="6" t="n"/>
      <c r="F131" s="6" t="n">
        <v>25401</v>
      </c>
      <c r="G131" s="6" t="n">
        <v>23611</v>
      </c>
      <c r="H131" s="7" t="n"/>
    </row>
    <row r="132">
      <c r="A132" s="8" t="inlineStr">
        <is>
          <t>= Credit</t>
        </is>
      </c>
      <c r="B132" s="9">
        <f>IF(B130="","",B130+B131)</f>
        <v/>
      </c>
      <c r="C132" s="9">
        <f>IF(C130="","",C130+C131)</f>
        <v/>
      </c>
      <c r="D132" s="9">
        <f>IF(D130="","",D130+D131)</f>
        <v/>
      </c>
      <c r="E132" s="9">
        <f>IF(E130="","",E130+E131)</f>
        <v/>
      </c>
      <c r="F132" s="9">
        <f>IF(F130="","",F130+F131)</f>
        <v/>
      </c>
      <c r="G132" s="9">
        <f>IF(G130="","",G130+G131)</f>
        <v/>
      </c>
    </row>
    <row r="133">
      <c r="A133" s="5" t="inlineStr">
        <is>
          <t xml:space="preserve">    Commercial mortgage loans</t>
        </is>
      </c>
      <c r="B133" s="6" t="n">
        <v>28055</v>
      </c>
      <c r="C133" s="6" t="n"/>
      <c r="D133" s="6" t="n"/>
      <c r="E133" s="6" t="n"/>
      <c r="F133" s="6" t="n">
        <v>31789</v>
      </c>
      <c r="G133" s="6" t="n">
        <v>32578</v>
      </c>
      <c r="H133" s="7" t="n"/>
    </row>
    <row r="134">
      <c r="A134" s="5" t="inlineStr">
        <is>
          <t xml:space="preserve">    Residential mortgage loans</t>
        </is>
      </c>
      <c r="B134" s="6" t="n">
        <v>27848</v>
      </c>
      <c r="C134" s="6" t="n"/>
      <c r="D134" s="6" t="n"/>
      <c r="E134" s="6" t="n"/>
      <c r="F134" s="6" t="n">
        <v>43326</v>
      </c>
      <c r="G134" s="6" t="n">
        <v>43688</v>
      </c>
      <c r="H134" s="7" t="n"/>
    </row>
    <row r="135">
      <c r="A135" s="5" t="inlineStr">
        <is>
          <t xml:space="preserve">    RMBS</t>
        </is>
      </c>
      <c r="B135" s="6" t="n">
        <v>7635</v>
      </c>
      <c r="C135" s="6" t="n"/>
      <c r="D135" s="6" t="n"/>
      <c r="E135" s="6" t="n"/>
      <c r="F135" s="6" t="n">
        <v>7592</v>
      </c>
      <c r="G135" s="6" t="n">
        <v>7232</v>
      </c>
      <c r="H135" s="7" t="n"/>
    </row>
    <row r="136">
      <c r="A136" s="5" t="inlineStr">
        <is>
          <t xml:space="preserve">    CMBS</t>
        </is>
      </c>
      <c r="B136" s="6" t="n">
        <v>8243</v>
      </c>
      <c r="C136" s="6" t="n"/>
      <c r="D136" s="6" t="n"/>
      <c r="E136" s="6" t="n"/>
      <c r="F136" s="6" t="n">
        <v>9877</v>
      </c>
      <c r="G136" s="6" t="n">
        <v>9662</v>
      </c>
      <c r="H136" s="7" t="n"/>
    </row>
    <row r="137">
      <c r="A137" s="8" t="inlineStr">
        <is>
          <t>= Real estate</t>
        </is>
      </c>
      <c r="B137" s="9">
        <f>IF(B133="","",SUM(B133:B136))</f>
        <v/>
      </c>
      <c r="C137" s="9">
        <f>IF(C133="","",SUM(C133:C136))</f>
        <v/>
      </c>
      <c r="D137" s="9">
        <f>IF(D133="","",SUM(D133:D136))</f>
        <v/>
      </c>
      <c r="E137" s="9">
        <f>IF(E133="","",SUM(E133:E136))</f>
        <v/>
      </c>
      <c r="F137" s="9">
        <f>IF(F133="","",SUM(F133:F136))</f>
        <v/>
      </c>
      <c r="G137" s="9">
        <f>IF(G133="","",SUM(G133:G136))</f>
        <v/>
      </c>
    </row>
    <row r="138">
      <c r="A138" s="5" t="inlineStr">
        <is>
          <t xml:space="preserve">    ABS</t>
        </is>
      </c>
      <c r="B138" s="6" t="n">
        <v>28670</v>
      </c>
      <c r="C138" s="6" t="n"/>
      <c r="D138" s="6" t="n"/>
      <c r="E138" s="6" t="n"/>
      <c r="F138" s="6" t="n">
        <v>38417</v>
      </c>
      <c r="G138" s="6" t="n">
        <v>41802</v>
      </c>
      <c r="H138" s="7" t="n"/>
    </row>
    <row r="139">
      <c r="A139" s="5" t="inlineStr">
        <is>
          <t xml:space="preserve">    Alternative investments</t>
        </is>
      </c>
      <c r="B139" s="6" t="n">
        <v>12000</v>
      </c>
      <c r="C139" s="6" t="n"/>
      <c r="D139" s="6" t="n"/>
      <c r="E139" s="6" t="n"/>
      <c r="F139" s="6" t="n">
        <v>13868</v>
      </c>
      <c r="G139" s="6" t="n">
        <v>15092</v>
      </c>
      <c r="H139" s="7" t="n"/>
    </row>
    <row r="140">
      <c r="A140" s="5" t="inlineStr">
        <is>
          <t xml:space="preserve">    Munis / foreign government</t>
        </is>
      </c>
      <c r="B140" s="6" t="n">
        <v>3237</v>
      </c>
      <c r="C140" s="6" t="n"/>
      <c r="D140" s="6" t="n"/>
      <c r="E140" s="6" t="n"/>
      <c r="F140" s="6" t="n">
        <v>3081</v>
      </c>
      <c r="G140" s="6" t="n">
        <v>3168</v>
      </c>
      <c r="H140" s="7" t="n"/>
    </row>
    <row r="141">
      <c r="A141" s="5" t="inlineStr">
        <is>
          <t xml:space="preserve">    Equity securities</t>
        </is>
      </c>
      <c r="B141" s="6" t="n">
        <v>2201</v>
      </c>
      <c r="C141" s="6" t="n"/>
      <c r="D141" s="6" t="n"/>
      <c r="E141" s="6" t="n"/>
      <c r="F141" s="6" t="n">
        <v>2039</v>
      </c>
      <c r="G141" s="6" t="n">
        <v>1975</v>
      </c>
      <c r="H141" s="7" t="n"/>
    </row>
    <row r="142">
      <c r="A142" s="5" t="inlineStr">
        <is>
          <t xml:space="preserve">    Short-term investments</t>
        </is>
      </c>
      <c r="B142" s="6" t="n">
        <v>1015</v>
      </c>
      <c r="C142" s="6" t="n"/>
      <c r="D142" s="6" t="n"/>
      <c r="E142" s="6" t="n"/>
      <c r="F142" s="6" t="n">
        <v>207</v>
      </c>
      <c r="G142" s="6" t="n">
        <v>146</v>
      </c>
      <c r="H142" s="7" t="n"/>
    </row>
    <row r="143">
      <c r="A143" s="5" t="inlineStr">
        <is>
          <t xml:space="preserve">    US government and agencies</t>
        </is>
      </c>
      <c r="B143" s="6" t="n">
        <v>5531</v>
      </c>
      <c r="C143" s="6" t="n"/>
      <c r="D143" s="6" t="n"/>
      <c r="E143" s="6" t="n"/>
      <c r="F143" s="6" t="n">
        <v>14225</v>
      </c>
      <c r="G143" s="6" t="n">
        <v>15985</v>
      </c>
      <c r="H143" s="7" t="n"/>
    </row>
    <row r="144">
      <c r="A144" s="8" t="inlineStr">
        <is>
          <t>= Other investments</t>
        </is>
      </c>
      <c r="B144" s="9">
        <f>IF(B138="","",SUM(B138:B143))</f>
        <v/>
      </c>
      <c r="C144" s="9">
        <f>IF(C138="","",SUM(C138:C143))</f>
        <v/>
      </c>
      <c r="D144" s="9">
        <f>IF(D138="","",SUM(D138:D143))</f>
        <v/>
      </c>
      <c r="E144" s="9">
        <f>IF(E138="","",SUM(E138:E143))</f>
        <v/>
      </c>
      <c r="F144" s="9">
        <f>IF(F138="","",SUM(F138:F143))</f>
        <v/>
      </c>
      <c r="G144" s="9">
        <f>IF(G138="","",SUM(G138:G143))</f>
        <v/>
      </c>
    </row>
    <row r="145">
      <c r="A145" s="5" t="inlineStr">
        <is>
          <t xml:space="preserve">    Cash and cash equivalents</t>
        </is>
      </c>
      <c r="B145" s="6" t="n">
        <v>6794</v>
      </c>
      <c r="C145" s="6" t="n"/>
      <c r="D145" s="6" t="n"/>
      <c r="E145" s="6" t="n"/>
      <c r="F145" s="6" t="n">
        <v>10490</v>
      </c>
      <c r="G145" s="6" t="n">
        <v>12969</v>
      </c>
      <c r="H145" s="7" t="n"/>
    </row>
    <row r="146">
      <c r="A146" s="5" t="inlineStr">
        <is>
          <t xml:space="preserve">    Other</t>
        </is>
      </c>
      <c r="B146" s="6" t="n">
        <v>3665</v>
      </c>
      <c r="C146" s="6" t="n"/>
      <c r="D146" s="6" t="n"/>
      <c r="E146" s="6" t="n"/>
      <c r="F146" s="6" t="n">
        <v>5438</v>
      </c>
      <c r="G146" s="6" t="n">
        <v>5618</v>
      </c>
      <c r="H146" s="7" t="n"/>
    </row>
    <row r="147">
      <c r="A147" s="8" t="inlineStr">
        <is>
          <t>= NET INVESTED ASSETS</t>
        </is>
      </c>
      <c r="B147" s="9">
        <f>IF(B132="","",B132+B137+B144+B145+B146)</f>
        <v/>
      </c>
      <c r="C147" s="9">
        <f>IF(C132="","",C132+C137+C144+C145+C146)</f>
        <v/>
      </c>
      <c r="D147" s="9">
        <f>IF(D132="","",D132+D137+D144+D145+D146)</f>
        <v/>
      </c>
      <c r="E147" s="9">
        <f>IF(E132="","",E132+E137+E144+E145+E146)</f>
        <v/>
      </c>
      <c r="F147" s="9">
        <f>IF(F132="","",F132+F137+F144+F145+F146)</f>
        <v/>
      </c>
      <c r="G147" s="9">
        <f>IF(G132="","",G132+G137+G144+G145+G146)</f>
        <v/>
      </c>
    </row>
    <row r="148">
      <c r="A148" s="5" t="inlineStr">
        <is>
          <t xml:space="preserve">   reported (filed)</t>
        </is>
      </c>
      <c r="B148" s="6" t="n">
        <v>248643</v>
      </c>
      <c r="C148" s="6" t="n"/>
      <c r="D148" s="6" t="n"/>
      <c r="E148" s="6" t="n"/>
      <c r="F148" s="6" t="n">
        <v>292414</v>
      </c>
      <c r="G148" s="6" t="n">
        <v>300290</v>
      </c>
      <c r="H148" s="7" t="n"/>
    </row>
    <row r="149">
      <c r="A149" s="2" t="inlineStr">
        <is>
          <t xml:space="preserve">   check</t>
        </is>
      </c>
      <c r="B149" s="2">
        <f>IF(B148="","n/a",IF(B147=B148,"OK","FAIL"))</f>
        <v/>
      </c>
      <c r="C149" s="2">
        <f>IF(C148="","n/a",IF(C147=C148,"OK","FAIL"))</f>
        <v/>
      </c>
      <c r="D149" s="2">
        <f>IF(D148="","n/a",IF(D147=D148,"OK","FAIL"))</f>
        <v/>
      </c>
      <c r="E149" s="2">
        <f>IF(E148="","n/a",IF(E147=E148,"OK","FAIL"))</f>
        <v/>
      </c>
      <c r="F149" s="2">
        <f>IF(F148="","n/a",IF(F147=F148,"OK","FAIL"))</f>
        <v/>
      </c>
      <c r="G149" s="2">
        <f>IF(G148="","n/a",IF(G147=G148,"OK","FAIL"))</f>
        <v/>
      </c>
    </row>
    <row r="151">
      <c r="A151" s="1" t="inlineStr">
        <is>
          <t>THE PORTFOLIO — CREDIT QUALITY, NAIC-DESIGNATED ASSETS (management view, period-ends)</t>
        </is>
      </c>
    </row>
    <row r="152">
      <c r="A152" s="5" t="inlineStr">
        <is>
          <t xml:space="preserve">    NAIC 1</t>
        </is>
      </c>
      <c r="B152" s="6" t="n">
        <v>93116</v>
      </c>
      <c r="C152" s="6" t="n"/>
      <c r="D152" s="6" t="n"/>
      <c r="E152" s="6" t="n"/>
      <c r="F152" s="6" t="n">
        <v>100710</v>
      </c>
      <c r="G152" s="6" t="n">
        <v>101271</v>
      </c>
      <c r="H152" s="7" t="n"/>
    </row>
    <row r="153">
      <c r="A153" s="5" t="inlineStr">
        <is>
          <t xml:space="preserve">    NAIC 2</t>
        </is>
      </c>
      <c r="B153" s="6" t="n">
        <v>68559</v>
      </c>
      <c r="C153" s="6" t="n"/>
      <c r="D153" s="6" t="n"/>
      <c r="E153" s="6" t="n"/>
      <c r="F153" s="6" t="n">
        <v>77217</v>
      </c>
      <c r="G153" s="6" t="n">
        <v>80564</v>
      </c>
      <c r="H153" s="7" t="n"/>
    </row>
    <row r="154">
      <c r="A154" s="5" t="inlineStr">
        <is>
          <t xml:space="preserve">    Non-designated (IG)</t>
        </is>
      </c>
      <c r="B154" s="6" t="n">
        <v>446</v>
      </c>
      <c r="C154" s="6" t="n"/>
      <c r="D154" s="6" t="n"/>
      <c r="E154" s="6" t="n"/>
      <c r="F154" s="6" t="n">
        <v>415</v>
      </c>
      <c r="G154" s="6" t="n">
        <v>389</v>
      </c>
      <c r="H154" s="7" t="n"/>
    </row>
    <row r="155">
      <c r="A155" s="8" t="inlineStr">
        <is>
          <t>= Total investment grade</t>
        </is>
      </c>
      <c r="B155" s="9">
        <f>IF(B152="","",SUM(B152:B154))</f>
        <v/>
      </c>
      <c r="C155" s="9">
        <f>IF(C152="","",SUM(C152:C154))</f>
        <v/>
      </c>
      <c r="D155" s="9">
        <f>IF(D152="","",SUM(D152:D154))</f>
        <v/>
      </c>
      <c r="E155" s="9">
        <f>IF(E152="","",SUM(E152:E154))</f>
        <v/>
      </c>
      <c r="F155" s="9">
        <f>IF(F152="","",SUM(F152:F154))</f>
        <v/>
      </c>
      <c r="G155" s="9">
        <f>IF(G152="","",SUM(G152:G154))</f>
        <v/>
      </c>
    </row>
    <row r="156">
      <c r="A156" s="5" t="inlineStr">
        <is>
          <t xml:space="preserve">    NAIC 3</t>
        </is>
      </c>
      <c r="B156" s="6" t="n">
        <v>3255</v>
      </c>
      <c r="C156" s="6" t="n"/>
      <c r="D156" s="6" t="n"/>
      <c r="E156" s="6" t="n"/>
      <c r="F156" s="6" t="n">
        <v>4007</v>
      </c>
      <c r="G156" s="6" t="n">
        <v>3397</v>
      </c>
      <c r="H156" s="7" t="n"/>
    </row>
    <row r="157">
      <c r="A157" s="5" t="inlineStr">
        <is>
          <t xml:space="preserve">    NAIC 4</t>
        </is>
      </c>
      <c r="B157" s="6" t="n">
        <v>1296</v>
      </c>
      <c r="C157" s="6" t="n"/>
      <c r="D157" s="6" t="n"/>
      <c r="E157" s="6" t="n"/>
      <c r="F157" s="6" t="n">
        <v>1431</v>
      </c>
      <c r="G157" s="6" t="n">
        <v>1364</v>
      </c>
      <c r="H157" s="7" t="n"/>
    </row>
    <row r="158">
      <c r="A158" s="5" t="inlineStr">
        <is>
          <t xml:space="preserve">    NAIC 5</t>
        </is>
      </c>
      <c r="B158" s="6" t="n">
        <v>522</v>
      </c>
      <c r="C158" s="6" t="n"/>
      <c r="D158" s="6" t="n"/>
      <c r="E158" s="6" t="n"/>
      <c r="F158" s="6" t="n">
        <v>644</v>
      </c>
      <c r="G158" s="6" t="n">
        <v>506</v>
      </c>
      <c r="H158" s="7" t="n"/>
    </row>
    <row r="159">
      <c r="A159" s="5" t="inlineStr">
        <is>
          <t xml:space="preserve">    NAIC 6</t>
        </is>
      </c>
      <c r="B159" s="6" t="n">
        <v>886</v>
      </c>
      <c r="C159" s="6" t="n"/>
      <c r="D159" s="6" t="n"/>
      <c r="E159" s="6" t="n"/>
      <c r="F159" s="6" t="n">
        <v>917</v>
      </c>
      <c r="G159" s="6" t="n">
        <v>762</v>
      </c>
      <c r="H159" s="7" t="n"/>
    </row>
    <row r="160">
      <c r="A160" s="5" t="inlineStr">
        <is>
          <t xml:space="preserve">    Non-designated (BIG)</t>
        </is>
      </c>
      <c r="B160" s="6" t="n">
        <v>0</v>
      </c>
      <c r="C160" s="6" t="n"/>
      <c r="D160" s="6" t="n"/>
      <c r="E160" s="6" t="n"/>
      <c r="F160" s="6" t="n">
        <v>123</v>
      </c>
      <c r="G160" s="6" t="n">
        <v>117</v>
      </c>
      <c r="H160" s="7" t="n"/>
    </row>
    <row r="161">
      <c r="A161" s="8" t="inlineStr">
        <is>
          <t>= Total below investment grade</t>
        </is>
      </c>
      <c r="B161" s="9">
        <f>IF(B156="","",SUM(B156:B160))</f>
        <v/>
      </c>
      <c r="C161" s="9">
        <f>IF(C156="","",SUM(C156:C160))</f>
        <v/>
      </c>
      <c r="D161" s="9">
        <f>IF(D156="","",SUM(D156:D160))</f>
        <v/>
      </c>
      <c r="E161" s="9">
        <f>IF(E156="","",SUM(E156:E160))</f>
        <v/>
      </c>
      <c r="F161" s="9">
        <f>IF(F156="","",SUM(F156:F160))</f>
        <v/>
      </c>
      <c r="G161" s="9">
        <f>IF(G156="","",SUM(G156:G160))</f>
        <v/>
      </c>
    </row>
    <row r="162">
      <c r="A162" s="8" t="inlineStr">
        <is>
          <t>= Total NAIC-designated assets</t>
        </is>
      </c>
      <c r="B162" s="9">
        <f>IF(B155="","",B155+B161)</f>
        <v/>
      </c>
      <c r="C162" s="9">
        <f>IF(C155="","",C155+C161)</f>
        <v/>
      </c>
      <c r="D162" s="9">
        <f>IF(D155="","",D155+D161)</f>
        <v/>
      </c>
      <c r="E162" s="9">
        <f>IF(E155="","",E155+E161)</f>
        <v/>
      </c>
      <c r="F162" s="9">
        <f>IF(F155="","",F155+F161)</f>
        <v/>
      </c>
      <c r="G162" s="9">
        <f>IF(G155="","",G155+G161)</f>
        <v/>
      </c>
    </row>
    <row r="163">
      <c r="A163" s="5" t="inlineStr">
        <is>
          <t xml:space="preserve">   reported (filed)</t>
        </is>
      </c>
      <c r="B163" s="6" t="n">
        <v>168080</v>
      </c>
      <c r="C163" s="6" t="n"/>
      <c r="D163" s="6" t="n"/>
      <c r="E163" s="6" t="n"/>
      <c r="F163" s="6" t="n">
        <v>185464</v>
      </c>
      <c r="G163" s="6" t="n">
        <v>188370</v>
      </c>
      <c r="H163" s="7" t="n"/>
    </row>
    <row r="164">
      <c r="A164" s="2" t="inlineStr">
        <is>
          <t xml:space="preserve">   check</t>
        </is>
      </c>
      <c r="B164" s="2">
        <f>IF(B163="","n/a",IF(B162=B163,"OK","FAIL"))</f>
        <v/>
      </c>
      <c r="C164" s="2">
        <f>IF(C163="","n/a",IF(C162=C163,"OK","FAIL"))</f>
        <v/>
      </c>
      <c r="D164" s="2">
        <f>IF(D163="","n/a",IF(D162=D163,"OK","FAIL"))</f>
        <v/>
      </c>
      <c r="E164" s="2">
        <f>IF(E163="","n/a",IF(E162=E163,"OK","FAIL"))</f>
        <v/>
      </c>
      <c r="F164" s="2">
        <f>IF(F163="","n/a",IF(F162=F163,"OK","FAIL"))</f>
        <v/>
      </c>
      <c r="G164" s="2">
        <f>IF(G163="","n/a",IF(G162=G163,"OK","FAIL"))</f>
        <v/>
      </c>
    </row>
    <row r="166">
      <c r="A166" s="1" t="inlineStr">
        <is>
          <t>GAAP INCOME — TO THE NET INCOME THAT VALUES THE EQUITY</t>
        </is>
      </c>
    </row>
    <row r="167">
      <c r="A167" s="5" t="inlineStr">
        <is>
          <t xml:space="preserve">    Premiums</t>
        </is>
      </c>
      <c r="B167" s="6" t="n">
        <v>155</v>
      </c>
      <c r="C167" s="6" t="n">
        <v>127</v>
      </c>
      <c r="D167" s="6" t="n">
        <v>107</v>
      </c>
      <c r="E167" s="6" t="n">
        <v>117</v>
      </c>
      <c r="F167" s="6" t="n">
        <v>2277</v>
      </c>
      <c r="G167" s="6" t="n">
        <v>217</v>
      </c>
      <c r="H167" s="7" t="n"/>
    </row>
    <row r="168">
      <c r="A168" s="5" t="inlineStr">
        <is>
          <t xml:space="preserve">    Product charges</t>
        </is>
      </c>
      <c r="B168" s="6" t="n">
        <v>260</v>
      </c>
      <c r="C168" s="6" t="n">
        <v>265</v>
      </c>
      <c r="D168" s="6" t="n">
        <v>274</v>
      </c>
      <c r="E168" s="6" t="n">
        <v>292</v>
      </c>
      <c r="F168" s="6" t="n">
        <v>306</v>
      </c>
      <c r="G168" s="6" t="n">
        <v>281</v>
      </c>
      <c r="H168" s="7" t="n"/>
    </row>
    <row r="169">
      <c r="A169" s="5" t="inlineStr">
        <is>
          <t xml:space="preserve">    Net investment income</t>
        </is>
      </c>
      <c r="B169" s="6" t="n">
        <v>3903</v>
      </c>
      <c r="C169" s="6" t="n">
        <v>3991</v>
      </c>
      <c r="D169" s="6" t="n">
        <v>4429</v>
      </c>
      <c r="E169" s="6" t="n">
        <v>4672</v>
      </c>
      <c r="F169" s="6" t="n">
        <v>4755</v>
      </c>
      <c r="G169" s="6" t="n">
        <v>4769</v>
      </c>
      <c r="H169" s="7" t="n"/>
    </row>
    <row r="170">
      <c r="A170" s="5" t="inlineStr">
        <is>
          <t xml:space="preserve">    Investment related gains (losses)</t>
        </is>
      </c>
      <c r="B170" s="6" t="n">
        <v>-1037</v>
      </c>
      <c r="C170" s="6" t="n">
        <v>-828</v>
      </c>
      <c r="D170" s="6" t="n">
        <v>-5</v>
      </c>
      <c r="E170" s="6" t="n">
        <v>2254</v>
      </c>
      <c r="F170" s="6" t="n">
        <v>123</v>
      </c>
      <c r="G170" s="6" t="n">
        <v>-2078</v>
      </c>
      <c r="H170" s="7" t="n"/>
    </row>
    <row r="171">
      <c r="A171" s="5" t="inlineStr">
        <is>
          <t xml:space="preserve">    Other revenues</t>
        </is>
      </c>
      <c r="B171" s="6" t="n">
        <v>10</v>
      </c>
      <c r="C171" s="6" t="n">
        <v>4</v>
      </c>
      <c r="D171" s="6" t="n">
        <v>6</v>
      </c>
      <c r="E171" s="6" t="n">
        <v>6</v>
      </c>
      <c r="F171" s="6" t="n">
        <v>9</v>
      </c>
      <c r="G171" s="6" t="n">
        <v>4</v>
      </c>
      <c r="H171" s="7" t="n"/>
    </row>
    <row r="172">
      <c r="A172" s="5" t="inlineStr">
        <is>
          <t xml:space="preserve">    VIE net investment income</t>
        </is>
      </c>
      <c r="B172" s="6" t="n">
        <v>72</v>
      </c>
      <c r="C172" s="6" t="n">
        <v>77</v>
      </c>
      <c r="D172" s="6" t="n">
        <v>80</v>
      </c>
      <c r="E172" s="6" t="n">
        <v>92</v>
      </c>
      <c r="F172" s="6" t="n">
        <v>32</v>
      </c>
      <c r="G172" s="6" t="n">
        <v>68</v>
      </c>
      <c r="H172" s="7" t="n"/>
    </row>
    <row r="173">
      <c r="A173" s="5" t="inlineStr">
        <is>
          <t xml:space="preserve">    VIE investment related gains (losses)</t>
        </is>
      </c>
      <c r="B173" s="6" t="n">
        <v>419</v>
      </c>
      <c r="C173" s="6" t="n">
        <v>550</v>
      </c>
      <c r="D173" s="6" t="n">
        <v>468</v>
      </c>
      <c r="E173" s="6" t="n">
        <v>565</v>
      </c>
      <c r="F173" s="6" t="n">
        <v>632</v>
      </c>
      <c r="G173" s="6" t="n">
        <v>407</v>
      </c>
      <c r="H173" s="7" t="n"/>
    </row>
    <row r="174">
      <c r="A174" s="8" t="inlineStr">
        <is>
          <t>= Total revenues</t>
        </is>
      </c>
      <c r="B174" s="9">
        <f>IF(B167="","",SUM(B167:B173))</f>
        <v/>
      </c>
      <c r="C174" s="9">
        <f>IF(C167="","",SUM(C167:C173))</f>
        <v/>
      </c>
      <c r="D174" s="9">
        <f>IF(D167="","",SUM(D167:D173))</f>
        <v/>
      </c>
      <c r="E174" s="9">
        <f>IF(E167="","",SUM(E167:E173))</f>
        <v/>
      </c>
      <c r="F174" s="9">
        <f>IF(F167="","",SUM(F167:F173))</f>
        <v/>
      </c>
      <c r="G174" s="9">
        <f>IF(G167="","",SUM(G167:G173))</f>
        <v/>
      </c>
    </row>
    <row r="175">
      <c r="A175" s="5" t="inlineStr">
        <is>
          <t xml:space="preserve">   reported (filed)</t>
        </is>
      </c>
      <c r="B175" s="6" t="n">
        <v>3782</v>
      </c>
      <c r="C175" s="6" t="n">
        <v>4186</v>
      </c>
      <c r="D175" s="6" t="n">
        <v>5359</v>
      </c>
      <c r="E175" s="6" t="n">
        <v>7998</v>
      </c>
      <c r="F175" s="6" t="n">
        <v>8134</v>
      </c>
      <c r="G175" s="6" t="n">
        <v>3668</v>
      </c>
      <c r="H175" s="7" t="n"/>
    </row>
    <row r="176">
      <c r="A176" s="2" t="inlineStr">
        <is>
          <t xml:space="preserve">   check</t>
        </is>
      </c>
      <c r="B176" s="2">
        <f>IF(B175="","n/a",IF(B174=B175,"OK","FAIL"))</f>
        <v/>
      </c>
      <c r="C176" s="2">
        <f>IF(C175="","n/a",IF(C174=C175,"OK","FAIL"))</f>
        <v/>
      </c>
      <c r="D176" s="2">
        <f>IF(D175="","n/a",IF(D174=D175,"OK","FAIL"))</f>
        <v/>
      </c>
      <c r="E176" s="2">
        <f>IF(E175="","n/a",IF(E174=E175,"OK","FAIL"))</f>
        <v/>
      </c>
      <c r="F176" s="2">
        <f>IF(F175="","n/a",IF(F174=F175,"OK","FAIL"))</f>
        <v/>
      </c>
      <c r="G176" s="2">
        <f>IF(G175="","n/a",IF(G174=G175,"OK","FAIL"))</f>
        <v/>
      </c>
    </row>
    <row r="177">
      <c r="A177" s="5" t="inlineStr">
        <is>
          <t xml:space="preserve">    Interest sensitive contract benefits</t>
        </is>
      </c>
      <c r="B177" s="6" t="n">
        <v>1642</v>
      </c>
      <c r="C177" s="6" t="n">
        <v>1494</v>
      </c>
      <c r="D177" s="6" t="n">
        <v>3428</v>
      </c>
      <c r="E177" s="6" t="n">
        <v>4164</v>
      </c>
      <c r="F177" s="6" t="n">
        <v>3003</v>
      </c>
      <c r="G177" s="6" t="n">
        <v>1591</v>
      </c>
      <c r="H177" s="7" t="n"/>
    </row>
    <row r="178">
      <c r="A178" s="5" t="inlineStr">
        <is>
          <t xml:space="preserve">    Future policy benefits</t>
        </is>
      </c>
      <c r="B178" s="6" t="n">
        <v>623</v>
      </c>
      <c r="C178" s="6" t="n">
        <v>541</v>
      </c>
      <c r="D178" s="6" t="n">
        <v>527</v>
      </c>
      <c r="E178" s="6" t="n">
        <v>613</v>
      </c>
      <c r="F178" s="6" t="n">
        <v>2752</v>
      </c>
      <c r="G178" s="6" t="n">
        <v>639</v>
      </c>
      <c r="H178" s="7" t="n"/>
    </row>
    <row r="179">
      <c r="A179" s="5" t="inlineStr">
        <is>
          <t xml:space="preserve">    Market risk benefits remeasurement</t>
        </is>
      </c>
      <c r="B179" s="6" t="n">
        <v>-456</v>
      </c>
      <c r="C179" s="6" t="n">
        <v>385</v>
      </c>
      <c r="D179" s="6" t="n">
        <v>-111</v>
      </c>
      <c r="E179" s="6" t="n">
        <v>131</v>
      </c>
      <c r="F179" s="6" t="n">
        <v>47</v>
      </c>
      <c r="G179" s="6" t="n">
        <v>259</v>
      </c>
      <c r="H179" s="7" t="n"/>
    </row>
    <row r="180">
      <c r="A180" s="5" t="inlineStr">
        <is>
          <t xml:space="preserve">    DAC amortization</t>
        </is>
      </c>
      <c r="B180" s="6" t="n">
        <v>263</v>
      </c>
      <c r="C180" s="6" t="n">
        <v>267</v>
      </c>
      <c r="D180" s="6" t="n">
        <v>292</v>
      </c>
      <c r="E180" s="6" t="n">
        <v>355</v>
      </c>
      <c r="F180" s="6" t="n">
        <v>328</v>
      </c>
      <c r="G180" s="6" t="n">
        <v>337</v>
      </c>
      <c r="H180" s="7" t="n"/>
    </row>
    <row r="181">
      <c r="A181" s="5" t="inlineStr">
        <is>
          <t xml:space="preserve">    Policy and other operating expenses</t>
        </is>
      </c>
      <c r="B181" s="6" t="n">
        <v>560</v>
      </c>
      <c r="C181" s="6" t="n">
        <v>565</v>
      </c>
      <c r="D181" s="6" t="n">
        <v>571</v>
      </c>
      <c r="E181" s="6" t="n">
        <v>591</v>
      </c>
      <c r="F181" s="6" t="n">
        <v>627</v>
      </c>
      <c r="G181" s="6" t="n">
        <v>651</v>
      </c>
      <c r="H181" s="7" t="n"/>
    </row>
    <row r="182">
      <c r="A182" s="8" t="inlineStr">
        <is>
          <t>= Total benefits and expenses</t>
        </is>
      </c>
      <c r="B182" s="9">
        <f>IF(B177="","",SUM(B177:B181))</f>
        <v/>
      </c>
      <c r="C182" s="9">
        <f>IF(C177="","",SUM(C177:C181))</f>
        <v/>
      </c>
      <c r="D182" s="9">
        <f>IF(D177="","",SUM(D177:D181))</f>
        <v/>
      </c>
      <c r="E182" s="9">
        <f>IF(E177="","",SUM(E177:E181))</f>
        <v/>
      </c>
      <c r="F182" s="9">
        <f>IF(F177="","",SUM(F177:F181))</f>
        <v/>
      </c>
      <c r="G182" s="9">
        <f>IF(G177="","",SUM(G177:G181))</f>
        <v/>
      </c>
    </row>
    <row r="183">
      <c r="A183" s="5" t="inlineStr">
        <is>
          <t xml:space="preserve">    Provision for credit losses (annual, GAAP; memo — inside inv. gains/losses)</t>
        </is>
      </c>
      <c r="B183" s="6" t="n"/>
      <c r="C183" s="6" t="n"/>
      <c r="D183" s="6" t="n"/>
      <c r="E183" s="6" t="n"/>
      <c r="F183" s="6" t="n"/>
      <c r="G183" s="6" t="n"/>
      <c r="H183" s="7" t="n"/>
    </row>
    <row r="184">
      <c r="A184" s="8" t="inlineStr">
        <is>
          <t>= Pre-tax income</t>
        </is>
      </c>
      <c r="B184" s="9">
        <f>IF(B174="","",B174-B182)</f>
        <v/>
      </c>
      <c r="C184" s="9">
        <f>IF(C174="","",C174-C182)</f>
        <v/>
      </c>
      <c r="D184" s="9">
        <f>IF(D174="","",D174-D182)</f>
        <v/>
      </c>
      <c r="E184" s="9">
        <f>IF(E174="","",E174-E182)</f>
        <v/>
      </c>
      <c r="F184" s="9">
        <f>IF(F174="","",F174-F182)</f>
        <v/>
      </c>
      <c r="G184" s="9">
        <f>IF(G174="","",G174-G182)</f>
        <v/>
      </c>
    </row>
    <row r="185">
      <c r="A185" s="5" t="inlineStr">
        <is>
          <t xml:space="preserve">    − Income tax expense (benefit)</t>
        </is>
      </c>
      <c r="B185" s="6" t="n">
        <v>71</v>
      </c>
      <c r="C185" s="6" t="n">
        <v>175</v>
      </c>
      <c r="D185" s="6" t="n">
        <v>-34</v>
      </c>
      <c r="E185" s="6" t="n">
        <v>266</v>
      </c>
      <c r="F185" s="6" t="n">
        <v>479</v>
      </c>
      <c r="G185" s="6" t="n">
        <v>1673</v>
      </c>
      <c r="H185" s="7" t="n"/>
    </row>
    <row r="186">
      <c r="A186" s="8" t="inlineStr">
        <is>
          <t>= NET INCOME</t>
        </is>
      </c>
      <c r="B186" s="9">
        <f>IF(B184="","",B184-B185)</f>
        <v/>
      </c>
      <c r="C186" s="9">
        <f>IF(C184="","",C184-C185)</f>
        <v/>
      </c>
      <c r="D186" s="9">
        <f>IF(D184="","",D184-D185)</f>
        <v/>
      </c>
      <c r="E186" s="9">
        <f>IF(E184="","",E184-E185)</f>
        <v/>
      </c>
      <c r="F186" s="9">
        <f>IF(F184="","",F184-F185)</f>
        <v/>
      </c>
      <c r="G186" s="9">
        <f>IF(G184="","",G184-G185)</f>
        <v/>
      </c>
    </row>
    <row r="187">
      <c r="A187" s="5" t="inlineStr">
        <is>
          <t xml:space="preserve">   reported net income (filed)</t>
        </is>
      </c>
      <c r="B187" s="6" t="n">
        <v>1079</v>
      </c>
      <c r="C187" s="6" t="n">
        <v>759</v>
      </c>
      <c r="D187" s="6" t="n">
        <v>686</v>
      </c>
      <c r="E187" s="6" t="n">
        <v>1878</v>
      </c>
      <c r="F187" s="6" t="n">
        <v>898</v>
      </c>
      <c r="G187" s="6" t="n">
        <v>-1482</v>
      </c>
      <c r="H187" s="7" t="n"/>
    </row>
    <row r="188">
      <c r="A188" s="2" t="inlineStr">
        <is>
          <t xml:space="preserve">   check</t>
        </is>
      </c>
      <c r="B188" s="2">
        <f>IF(B187="","n/a",IF(B186=B187,"OK","FAIL"))</f>
        <v/>
      </c>
      <c r="C188" s="2">
        <f>IF(C187="","n/a",IF(C186=C187,"OK","FAIL"))</f>
        <v/>
      </c>
      <c r="D188" s="2">
        <f>IF(D187="","n/a",IF(D186=D187,"OK","FAIL"))</f>
        <v/>
      </c>
      <c r="E188" s="2">
        <f>IF(E187="","n/a",IF(E186=E187,"OK","FAIL"))</f>
        <v/>
      </c>
      <c r="F188" s="2">
        <f>IF(F187="","n/a",IF(F186=F187,"OK","FAIL"))</f>
        <v/>
      </c>
      <c r="G188" s="2">
        <f>IF(G187="","n/a",IF(G186=G187,"OK","FAIL"))</f>
        <v/>
      </c>
    </row>
    <row r="189">
      <c r="A189" s="5" t="inlineStr">
        <is>
          <t xml:space="preserve">    − NI attributable to NCI (ADIP)</t>
        </is>
      </c>
      <c r="B189" s="6" t="n">
        <v>64</v>
      </c>
      <c r="C189" s="6" t="n">
        <v>294</v>
      </c>
      <c r="D189" s="6" t="n">
        <v>222</v>
      </c>
      <c r="E189" s="6" t="n">
        <v>619</v>
      </c>
      <c r="F189" s="6" t="n">
        <v>375</v>
      </c>
      <c r="G189" s="6" t="n">
        <v>456</v>
      </c>
      <c r="H189" s="7" t="n"/>
    </row>
    <row r="190">
      <c r="A190" s="5" t="inlineStr">
        <is>
          <t xml:space="preserve">    − Preferred dividends (net of redemption adj.)</t>
        </is>
      </c>
      <c r="B190" s="6" t="n">
        <v>45</v>
      </c>
      <c r="C190" s="6" t="n">
        <v>45</v>
      </c>
      <c r="D190" s="6" t="n">
        <v>45</v>
      </c>
      <c r="E190" s="6" t="n">
        <v>36</v>
      </c>
      <c r="F190" s="6" t="n">
        <v>35</v>
      </c>
      <c r="G190" s="6" t="n">
        <v>35</v>
      </c>
      <c r="H190" s="7" t="n"/>
    </row>
    <row r="191">
      <c r="A191" s="5" t="inlineStr">
        <is>
          <t xml:space="preserve">    + Preferred redemption adjustment</t>
        </is>
      </c>
      <c r="B191" s="6" t="n">
        <v>0</v>
      </c>
      <c r="C191" s="6" t="n">
        <v>0</v>
      </c>
      <c r="D191" s="6" t="n">
        <v>84</v>
      </c>
      <c r="E191" s="6" t="n">
        <v>0</v>
      </c>
      <c r="F191" s="6" t="n">
        <v>0</v>
      </c>
      <c r="G191" s="6" t="n">
        <v>0</v>
      </c>
      <c r="H191" s="7" t="n"/>
    </row>
    <row r="192">
      <c r="A192" s="8" t="inlineStr">
        <is>
          <t>= NET INCOME TO COMMON — the valuation line</t>
        </is>
      </c>
      <c r="B192" s="9">
        <f>IF(B187="","",B187-B189-B190+B191)</f>
        <v/>
      </c>
      <c r="C192" s="9">
        <f>IF(C187="","",C187-C189-C190+C191)</f>
        <v/>
      </c>
      <c r="D192" s="9">
        <f>IF(D187="","",D187-D189-D190+D191)</f>
        <v/>
      </c>
      <c r="E192" s="9">
        <f>IF(E187="","",E187-E189-E190+E191)</f>
        <v/>
      </c>
      <c r="F192" s="9">
        <f>IF(F187="","",F187-F189-F190+F191)</f>
        <v/>
      </c>
      <c r="G192" s="9">
        <f>IF(G187="","",G187-G189-G190+G191)</f>
        <v/>
      </c>
    </row>
    <row r="193">
      <c r="A193" s="5" t="inlineStr">
        <is>
          <t xml:space="preserve">   reported (filed)</t>
        </is>
      </c>
      <c r="B193" s="6" t="n">
        <v>970</v>
      </c>
      <c r="C193" s="6" t="n">
        <v>420</v>
      </c>
      <c r="D193" s="6" t="n">
        <v>503</v>
      </c>
      <c r="E193" s="6" t="n">
        <v>1223</v>
      </c>
      <c r="F193" s="6" t="n">
        <v>488</v>
      </c>
      <c r="G193" s="6" t="n">
        <v>-1973</v>
      </c>
      <c r="H193" s="7" t="n"/>
    </row>
    <row r="194">
      <c r="A194" s="2" t="inlineStr">
        <is>
          <t xml:space="preserve">   check</t>
        </is>
      </c>
      <c r="B194" s="2">
        <f>IF(B193="","n/a",IF(B192=B193,"OK","FAIL"))</f>
        <v/>
      </c>
      <c r="C194" s="2">
        <f>IF(C193="","n/a",IF(C192=C193,"OK","FAIL"))</f>
        <v/>
      </c>
      <c r="D194" s="2">
        <f>IF(D193="","n/a",IF(D192=D193,"OK","FAIL"))</f>
        <v/>
      </c>
      <c r="E194" s="2">
        <f>IF(E193="","n/a",IF(E192=E193,"OK","FAIL"))</f>
        <v/>
      </c>
      <c r="F194" s="2">
        <f>IF(F193="","n/a",IF(F192=F193,"OK","FAIL"))</f>
        <v/>
      </c>
      <c r="G194" s="2">
        <f>IF(G193="","n/a",IF(G192=G193,"OK","FAIL"))</f>
        <v/>
      </c>
    </row>
    <row r="196">
      <c r="A196" s="1" t="inlineStr">
        <is>
          <t>THE EQUITY UNDERNEATH — AND THE RETURN ON IT</t>
        </is>
      </c>
    </row>
    <row r="197">
      <c r="A197" s="5" t="inlineStr">
        <is>
          <t xml:space="preserve">    Additional paid-in capital</t>
        </is>
      </c>
      <c r="B197" s="6" t="n">
        <v>19588</v>
      </c>
      <c r="C197" s="6" t="n"/>
      <c r="D197" s="6" t="n"/>
      <c r="E197" s="6" t="n"/>
      <c r="F197" s="6" t="n">
        <v>19238</v>
      </c>
      <c r="G197" s="6" t="n">
        <v>19262</v>
      </c>
      <c r="H197" s="7" t="n"/>
    </row>
    <row r="198">
      <c r="A198" s="5" t="inlineStr">
        <is>
          <t xml:space="preserve">    Retained earnings</t>
        </is>
      </c>
      <c r="B198" s="6" t="n">
        <v>2237</v>
      </c>
      <c r="C198" s="6" t="n"/>
      <c r="D198" s="6" t="n"/>
      <c r="E198" s="6" t="n"/>
      <c r="F198" s="6" t="n">
        <v>3895</v>
      </c>
      <c r="G198" s="6" t="n">
        <v>1706</v>
      </c>
      <c r="H198" s="7" t="n"/>
    </row>
    <row r="199">
      <c r="A199" s="5" t="inlineStr">
        <is>
          <t xml:space="preserve">    AOCI (the bond-mark hole)</t>
        </is>
      </c>
      <c r="B199" s="6" t="n">
        <v>-5465</v>
      </c>
      <c r="C199" s="6" t="n"/>
      <c r="D199" s="6" t="n"/>
      <c r="E199" s="6" t="n"/>
      <c r="F199" s="6" t="n">
        <v>-2641</v>
      </c>
      <c r="G199" s="6" t="n">
        <v>-3120</v>
      </c>
      <c r="H199" s="7" t="n"/>
    </row>
    <row r="200">
      <c r="A200" s="8" t="inlineStr">
        <is>
          <t>= AHL stockholders equity</t>
        </is>
      </c>
      <c r="B200" s="9">
        <f>IF(B197="","",SUM(B197:B199))</f>
        <v/>
      </c>
      <c r="C200" s="9">
        <f>IF(C197="","",SUM(C197:C199))</f>
        <v/>
      </c>
      <c r="D200" s="9">
        <f>IF(D197="","",SUM(D197:D199))</f>
        <v/>
      </c>
      <c r="E200" s="9">
        <f>IF(E197="","",SUM(E197:E199))</f>
        <v/>
      </c>
      <c r="F200" s="9">
        <f>IF(F197="","",SUM(F197:F199))</f>
        <v/>
      </c>
      <c r="G200" s="9">
        <f>IF(G197="","",SUM(G197:G199))</f>
        <v/>
      </c>
    </row>
    <row r="201">
      <c r="A201" s="5" t="inlineStr">
        <is>
          <t xml:space="preserve">   reported (filed)</t>
        </is>
      </c>
      <c r="B201" s="6" t="n">
        <v>16360</v>
      </c>
      <c r="C201" s="6" t="n"/>
      <c r="D201" s="6" t="n"/>
      <c r="E201" s="6" t="n"/>
      <c r="F201" s="6" t="n">
        <v>20492</v>
      </c>
      <c r="G201" s="6" t="n">
        <v>17848</v>
      </c>
      <c r="H201" s="7" t="n"/>
    </row>
    <row r="202">
      <c r="A202" s="2" t="inlineStr">
        <is>
          <t xml:space="preserve">   check</t>
        </is>
      </c>
      <c r="B202" s="2">
        <f>IF(B201="","n/a",IF(B200=B201,"OK","FAIL"))</f>
        <v/>
      </c>
      <c r="C202" s="2">
        <f>IF(C201="","n/a",IF(C200=C201,"OK","FAIL"))</f>
        <v/>
      </c>
      <c r="D202" s="2">
        <f>IF(D201="","n/a",IF(D200=D201,"OK","FAIL"))</f>
        <v/>
      </c>
      <c r="E202" s="2">
        <f>IF(E201="","n/a",IF(E200=E201,"OK","FAIL"))</f>
        <v/>
      </c>
      <c r="F202" s="2">
        <f>IF(F201="","n/a",IF(F200=F201,"OK","FAIL"))</f>
        <v/>
      </c>
      <c r="G202" s="2">
        <f>IF(G201="","n/a",IF(G200=G201,"OK","FAIL"))</f>
        <v/>
      </c>
    </row>
    <row r="203">
      <c r="A203" s="5" t="inlineStr">
        <is>
          <t xml:space="preserve">    Noncontrolling interests (ADIP)</t>
        </is>
      </c>
      <c r="B203" s="6" t="n">
        <v>9514</v>
      </c>
      <c r="C203" s="6" t="n"/>
      <c r="D203" s="6" t="n"/>
      <c r="E203" s="6" t="n"/>
      <c r="F203" s="6" t="n">
        <v>15146</v>
      </c>
      <c r="G203" s="6" t="n">
        <v>15852</v>
      </c>
      <c r="H203" s="7" t="n"/>
    </row>
    <row r="204">
      <c r="A204" s="8" t="inlineStr">
        <is>
          <t>= Total equity</t>
        </is>
      </c>
      <c r="B204" s="9">
        <f>IF(B201="","",B201+B203)</f>
        <v/>
      </c>
      <c r="C204" s="9">
        <f>IF(C201="","",C201+C203)</f>
        <v/>
      </c>
      <c r="D204" s="9">
        <f>IF(D201="","",D201+D203)</f>
        <v/>
      </c>
      <c r="E204" s="9">
        <f>IF(E201="","",E201+E203)</f>
        <v/>
      </c>
      <c r="F204" s="9">
        <f>IF(F201="","",F201+F203)</f>
        <v/>
      </c>
      <c r="G204" s="9">
        <f>IF(G201="","",G201+G203)</f>
        <v/>
      </c>
    </row>
    <row r="205">
      <c r="A205" s="5" t="inlineStr">
        <is>
          <t xml:space="preserve">   reported (filed)</t>
        </is>
      </c>
      <c r="B205" s="6" t="n">
        <v>25874</v>
      </c>
      <c r="C205" s="6" t="n"/>
      <c r="D205" s="6" t="n"/>
      <c r="E205" s="6" t="n"/>
      <c r="F205" s="6" t="n">
        <v>35638</v>
      </c>
      <c r="G205" s="6" t="n">
        <v>33700</v>
      </c>
      <c r="H205" s="7" t="n"/>
    </row>
    <row r="206">
      <c r="A206" s="2" t="inlineStr">
        <is>
          <t xml:space="preserve">   check</t>
        </is>
      </c>
      <c r="B206" s="2">
        <f>IF(B205="","n/a",IF(B204=B205,"OK","FAIL"))</f>
        <v/>
      </c>
      <c r="C206" s="2">
        <f>IF(C205="","n/a",IF(C204=C205,"OK","FAIL"))</f>
        <v/>
      </c>
      <c r="D206" s="2">
        <f>IF(D205="","n/a",IF(D204=D205,"OK","FAIL"))</f>
        <v/>
      </c>
      <c r="E206" s="2">
        <f>IF(E205="","n/a",IF(E204=E205,"OK","FAIL"))</f>
        <v/>
      </c>
      <c r="F206" s="2">
        <f>IF(F205="","n/a",IF(F204=F205,"OK","FAIL"))</f>
        <v/>
      </c>
      <c r="G206" s="2">
        <f>IF(G205="","n/a",IF(G204=G205,"OK","FAIL"))</f>
        <v/>
      </c>
    </row>
    <row r="207">
      <c r="A207" s="8" t="inlineStr">
        <is>
          <t>ROE — NI-common ×4 ÷ avg AHL equity (this and prior period)</t>
        </is>
      </c>
      <c r="B207" s="2" t="inlineStr">
        <is>
          <t>n/a</t>
        </is>
      </c>
      <c r="C207" s="11">
        <f>IF(OR(C193="",C201="",B201=""),"",C193*4/((C201+B201)/2))</f>
        <v/>
      </c>
      <c r="D207" s="11">
        <f>IF(OR(D193="",D201="",C201=""),"",D193*4/((D201+C201)/2))</f>
        <v/>
      </c>
      <c r="E207" s="11">
        <f>IF(OR(E193="",E201="",D201=""),"",E193*4/((E201+D201)/2))</f>
        <v/>
      </c>
      <c r="F207" s="11">
        <f>IF(OR(F193="",F201="",E201=""),"",F193*4/((F201+E201)/2))</f>
        <v/>
      </c>
      <c r="G207" s="11">
        <f>IF(OR(G193="",G201="",F201=""),"",G193*4/((G201+F201)/2))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ATHENE — THE ANNUAL ENGINE  (same rows; FY2023 from 10-K, FY2024/25 from Q4 supplement YTD, cross-gated)</t>
        </is>
      </c>
    </row>
    <row r="2">
      <c r="A2" s="2" t="inlineStr">
        <is>
          <t>Blue = filed value (ahl-10k-fy2025 MD&amp;A + ATH Q4'25 supplement full-year columns; both sources agree exactly where they overlap). "FY25 Σq" = live sum over the Engine tab — its check must read OK. Blank FY2023 cells = row published only in supplements (older ones are glyph-encoded; decoder parked); their checks read n/a.</t>
        </is>
      </c>
    </row>
    <row r="4"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FY25 Σq</t>
        </is>
      </c>
      <c r="F4" s="3" t="inlineStr">
        <is>
          <t>src-check</t>
        </is>
      </c>
    </row>
    <row r="6">
      <c r="A6" s="1" t="inlineStr">
        <is>
          <t>MONEY IN — BY CHANNEL</t>
        </is>
      </c>
    </row>
    <row r="7">
      <c r="A7" s="5" t="inlineStr">
        <is>
          <t>Retail</t>
        </is>
      </c>
      <c r="B7" s="6" t="n">
        <v>35293</v>
      </c>
      <c r="C7" s="6" t="n">
        <v>35764</v>
      </c>
      <c r="D7" s="6" t="n">
        <v>34127</v>
      </c>
      <c r="E7" s="12">
        <f>SUM(Engine!C7:F7)</f>
        <v/>
      </c>
      <c r="F7" s="2">
        <f>IF(D7="","n/a",IF(E7=D7,"OK","FAIL"))</f>
        <v/>
      </c>
    </row>
    <row r="8">
      <c r="A8" s="5" t="inlineStr">
        <is>
          <t>Flow reinsurance</t>
        </is>
      </c>
      <c r="B8" s="6" t="n">
        <v>10547</v>
      </c>
      <c r="C8" s="6" t="n">
        <v>5573</v>
      </c>
      <c r="D8" s="6" t="n">
        <v>11171</v>
      </c>
      <c r="E8" s="12">
        <f>SUM(Engine!C8:F8)</f>
        <v/>
      </c>
      <c r="F8" s="2">
        <f>IF(D8="","n/a",IF(E8=D8,"OK","FAIL"))</f>
        <v/>
      </c>
    </row>
    <row r="9">
      <c r="A9" s="5" t="inlineStr">
        <is>
          <t>Funding agreements</t>
        </is>
      </c>
      <c r="B9" s="6" t="n">
        <v>7193</v>
      </c>
      <c r="C9" s="6" t="n">
        <v>28748</v>
      </c>
      <c r="D9" s="6" t="n">
        <v>35375</v>
      </c>
      <c r="E9" s="12">
        <f>SUM(Engine!C9:F9)</f>
        <v/>
      </c>
      <c r="F9" s="2">
        <f>IF(D9="","n/a",IF(E9=D9,"OK","FAIL"))</f>
        <v/>
      </c>
    </row>
    <row r="10">
      <c r="A10" s="5" t="inlineStr">
        <is>
          <t>Pension group annuities</t>
        </is>
      </c>
      <c r="B10" s="6" t="n">
        <v>10374</v>
      </c>
      <c r="C10" s="6" t="n">
        <v>918</v>
      </c>
      <c r="D10" s="6" t="n">
        <v>751</v>
      </c>
      <c r="E10" s="12">
        <f>SUM(Engine!C10:F10)</f>
        <v/>
      </c>
      <c r="F10" s="2">
        <f>IF(D10="","n/a",IF(E10=D10,"OK","FAIL"))</f>
        <v/>
      </c>
    </row>
    <row r="11">
      <c r="A11" s="5" t="inlineStr">
        <is>
          <t>Other spread products</t>
        </is>
      </c>
      <c r="B11" s="6" t="n">
        <v>0</v>
      </c>
      <c r="C11" s="6" t="n">
        <v>0</v>
      </c>
      <c r="D11" s="6" t="n">
        <v>674</v>
      </c>
      <c r="E11" s="12">
        <f>SUM(Engine!C11:F11)</f>
        <v/>
      </c>
      <c r="F11" s="2">
        <f>IF(D11="","n/a",IF(E11=D11,"OK","FAIL"))</f>
        <v/>
      </c>
    </row>
    <row r="12">
      <c r="A12" s="8" t="inlineStr">
        <is>
          <t>= Gross organic inflows</t>
        </is>
      </c>
      <c r="B12" s="9">
        <f>SUM(B7:B11)</f>
        <v/>
      </c>
      <c r="C12" s="9">
        <f>SUM(C7:C11)</f>
        <v/>
      </c>
      <c r="D12" s="9">
        <f>SUM(D7:D11)</f>
        <v/>
      </c>
    </row>
    <row r="13">
      <c r="A13" s="5" t="inlineStr">
        <is>
          <t>Gross inorganic (block) inflows</t>
        </is>
      </c>
      <c r="B13" s="6" t="n">
        <v>2214</v>
      </c>
      <c r="C13" s="6" t="n">
        <v>0</v>
      </c>
      <c r="D13" s="6" t="n">
        <v>1340</v>
      </c>
      <c r="E13" s="12">
        <f>SUM(Engine!C13:F13)</f>
        <v/>
      </c>
      <c r="F13" s="2">
        <f>IF(D13="","n/a",IF(E13=D13,"OK","FAIL"))</f>
        <v/>
      </c>
    </row>
    <row r="14">
      <c r="A14" s="8" t="inlineStr">
        <is>
          <t>= TOTAL GROSS INFLOWS</t>
        </is>
      </c>
      <c r="B14" s="9">
        <f>B12+B13</f>
        <v/>
      </c>
      <c r="C14" s="9">
        <f>C12+C13</f>
        <v/>
      </c>
      <c r="D14" s="9">
        <f>D12+D13</f>
        <v/>
      </c>
    </row>
    <row r="15">
      <c r="A15" s="5" t="inlineStr">
        <is>
          <t xml:space="preserve">   reported total (filed)</t>
        </is>
      </c>
      <c r="B15" s="6" t="n">
        <v>65621</v>
      </c>
      <c r="C15" s="6" t="n">
        <v>71003</v>
      </c>
      <c r="D15" s="6" t="n">
        <v>83438</v>
      </c>
      <c r="E15" s="12">
        <f>SUM(Engine!C15:F15)</f>
        <v/>
      </c>
      <c r="F15" s="2">
        <f>IF(D15="","n/a",IF(E15=D15,"OK","FAIL"))</f>
        <v/>
      </c>
    </row>
    <row r="16">
      <c r="A16" s="2" t="inlineStr">
        <is>
          <t xml:space="preserve">   check</t>
        </is>
      </c>
      <c r="B16" s="2">
        <f>IF(B15="","n/a",IF(B14=B15,"OK","FAIL"))</f>
        <v/>
      </c>
      <c r="C16" s="2">
        <f>IF(C15="","n/a",IF(C14=C15,"OK","FAIL"))</f>
        <v/>
      </c>
      <c r="D16" s="2">
        <f>IF(D15="","n/a",IF(D14=D15,"OK","FAIL"))</f>
        <v/>
      </c>
    </row>
    <row r="18">
      <c r="A18" s="1" t="inlineStr">
        <is>
          <t>SAME MONEY, BY OWNER — the two cuts must agree</t>
        </is>
      </c>
    </row>
    <row r="19">
      <c r="A19" s="5" t="inlineStr">
        <is>
          <t>Inflows attributable to Athene</t>
        </is>
      </c>
      <c r="B19" s="6" t="n">
        <v>43000</v>
      </c>
      <c r="C19" s="6" t="n">
        <v>49084</v>
      </c>
      <c r="D19" s="6" t="n">
        <v>63236</v>
      </c>
      <c r="E19" s="12">
        <f>SUM(Engine!C19:F19)</f>
        <v/>
      </c>
      <c r="F19" s="2">
        <f>IF(D19="","n/a",IF(E19=D19,"OK","FAIL"))</f>
        <v/>
      </c>
    </row>
    <row r="20">
      <c r="A20" s="5" t="inlineStr">
        <is>
          <t>Inflows attributable to ADIP (sidecar investors)</t>
        </is>
      </c>
      <c r="B20" s="6" t="n">
        <v>22621</v>
      </c>
      <c r="C20" s="6" t="n">
        <v>17848</v>
      </c>
      <c r="D20" s="6" t="n">
        <v>18452</v>
      </c>
      <c r="E20" s="12">
        <f>SUM(Engine!C20:F20)</f>
        <v/>
      </c>
      <c r="F20" s="2">
        <f>IF(D20="","n/a",IF(E20=D20,"OK","FAIL"))</f>
        <v/>
      </c>
    </row>
    <row r="21">
      <c r="A21" s="5" t="inlineStr">
        <is>
          <t>Inflows ceded to third-party reinsurers</t>
        </is>
      </c>
      <c r="B21" s="6" t="n">
        <v>0</v>
      </c>
      <c r="C21" s="6" t="n">
        <v>4071</v>
      </c>
      <c r="D21" s="6" t="n">
        <v>1750</v>
      </c>
      <c r="E21" s="12">
        <f>SUM(Engine!C21:F21)</f>
        <v/>
      </c>
      <c r="F21" s="2">
        <f>IF(D21="","n/a",IF(E21=D21,"OK","FAIL"))</f>
        <v/>
      </c>
    </row>
    <row r="22">
      <c r="A22" s="8" t="inlineStr">
        <is>
          <t>= Total by owner</t>
        </is>
      </c>
      <c r="B22" s="9">
        <f>SUM(B19:B21)</f>
        <v/>
      </c>
      <c r="C22" s="9">
        <f>SUM(C19:C21)</f>
        <v/>
      </c>
      <c r="D22" s="9">
        <f>SUM(D19:D21)</f>
        <v/>
      </c>
    </row>
    <row r="23">
      <c r="A23" s="2" t="inlineStr">
        <is>
          <t xml:space="preserve">   check vs channel cut</t>
        </is>
      </c>
      <c r="B23" s="2">
        <f>IF(B15="","n/a",IF(B22=B15,"OK","FAIL"))</f>
        <v/>
      </c>
      <c r="C23" s="2">
        <f>IF(C15="","n/a",IF(C22=C15,"OK","FAIL"))</f>
        <v/>
      </c>
      <c r="D23" s="2">
        <f>IF(D15="","n/a",IF(D22=D15,"OK","FAIL"))</f>
        <v/>
      </c>
    </row>
    <row r="25">
      <c r="A25" s="1" t="inlineStr">
        <is>
          <t>MONEY OUT</t>
        </is>
      </c>
    </row>
    <row r="26">
      <c r="A26" s="5" t="inlineStr">
        <is>
          <t>Outflows attributable to Athene</t>
        </is>
      </c>
      <c r="B26" s="6" t="n">
        <v>-28763</v>
      </c>
      <c r="C26" s="6" t="n">
        <v>-27248</v>
      </c>
      <c r="D26" s="6" t="n">
        <v>-29725</v>
      </c>
      <c r="E26" s="12">
        <f>SUM(Engine!C26:F26)</f>
        <v/>
      </c>
      <c r="F26" s="2">
        <f>IF(D26="","n/a",IF(E26=D26,"OK","FAIL"))</f>
        <v/>
      </c>
    </row>
    <row r="27">
      <c r="A27" s="5" t="inlineStr">
        <is>
          <t>Outflows attributable to ADIP</t>
        </is>
      </c>
      <c r="B27" s="6" t="n">
        <v>-5105</v>
      </c>
      <c r="C27" s="6" t="n">
        <v>-6221</v>
      </c>
      <c r="D27" s="6" t="n">
        <v>-5803</v>
      </c>
      <c r="E27" s="12">
        <f>SUM(Engine!C27:F27)</f>
        <v/>
      </c>
      <c r="F27" s="2">
        <f>IF(D27="","n/a",IF(E27=D27,"OK","FAIL"))</f>
        <v/>
      </c>
    </row>
    <row r="28">
      <c r="A28" s="8" t="inlineStr">
        <is>
          <t>= Total gross outflows</t>
        </is>
      </c>
      <c r="B28" s="9">
        <f>B26+B27</f>
        <v/>
      </c>
      <c r="C28" s="9">
        <f>C26+C27</f>
        <v/>
      </c>
      <c r="D28" s="9">
        <f>D26+D27</f>
        <v/>
      </c>
    </row>
    <row r="29">
      <c r="A29" s="5" t="inlineStr">
        <is>
          <t xml:space="preserve">   reported total (filed)</t>
        </is>
      </c>
      <c r="B29" s="6" t="n">
        <v>-33868</v>
      </c>
      <c r="C29" s="6" t="n">
        <v>-33469</v>
      </c>
      <c r="D29" s="6" t="n">
        <v>-35528</v>
      </c>
      <c r="E29" s="12">
        <f>SUM(Engine!C29:F29)</f>
        <v/>
      </c>
      <c r="F29" s="2">
        <f>IF(D29="","n/a",IF(E29=D29,"OK","FAIL"))</f>
        <v/>
      </c>
    </row>
    <row r="30">
      <c r="A30" s="2" t="inlineStr">
        <is>
          <t xml:space="preserve">   check</t>
        </is>
      </c>
      <c r="B30" s="2">
        <f>IF(B29="","n/a",IF(B28=B29,"OK","FAIL"))</f>
        <v/>
      </c>
      <c r="C30" s="2">
        <f>IF(C29="","n/a",IF(C28=C29,"OK","FAIL"))</f>
        <v/>
      </c>
      <c r="D30" s="2">
        <f>IF(D29="","n/a",IF(D28=D29,"OK","FAIL"))</f>
        <v/>
      </c>
    </row>
    <row r="31">
      <c r="A31" s="2" t="inlineStr">
        <is>
          <t>Athene outflows by type:</t>
        </is>
      </c>
    </row>
    <row r="32">
      <c r="A32" s="5" t="inlineStr">
        <is>
          <t xml:space="preserve">    Maturity-driven / contractual</t>
        </is>
      </c>
      <c r="B32" s="6" t="n"/>
      <c r="C32" s="6" t="n">
        <v>-12096</v>
      </c>
      <c r="D32" s="6" t="n">
        <v>-15090</v>
      </c>
      <c r="E32" s="12">
        <f>SUM(Engine!C32:F32)</f>
        <v/>
      </c>
      <c r="F32" s="2">
        <f>IF(D32="","n/a",IF(E32=D32,"OK","FAIL"))</f>
        <v/>
      </c>
    </row>
    <row r="33">
      <c r="A33" s="5" t="inlineStr">
        <is>
          <t xml:space="preserve">    Policyholder-driven</t>
        </is>
      </c>
      <c r="B33" s="6" t="n"/>
      <c r="C33" s="6" t="n">
        <v>-15152</v>
      </c>
      <c r="D33" s="6" t="n">
        <v>-14635</v>
      </c>
      <c r="E33" s="12">
        <f>SUM(Engine!C33:F33)</f>
        <v/>
      </c>
      <c r="F33" s="2">
        <f>IF(D33="","n/a",IF(E33=D33,"OK","FAIL"))</f>
        <v/>
      </c>
    </row>
    <row r="34">
      <c r="A34" s="5" t="inlineStr">
        <is>
          <t xml:space="preserve">        income-oriented (planned)</t>
        </is>
      </c>
      <c r="B34" s="6" t="n"/>
      <c r="C34" s="6" t="n">
        <v>-6427</v>
      </c>
      <c r="D34" s="6" t="n">
        <v>-6871</v>
      </c>
      <c r="E34" s="12">
        <f>SUM(Engine!C34:F34)</f>
        <v/>
      </c>
      <c r="F34" s="2">
        <f>IF(D34="","n/a",IF(E34=D34,"OK","FAIL"))</f>
        <v/>
      </c>
    </row>
    <row r="35">
      <c r="A35" s="5" t="inlineStr">
        <is>
          <t xml:space="preserve">        out of surrender charge (planned)</t>
        </is>
      </c>
      <c r="B35" s="6" t="n"/>
      <c r="C35" s="6" t="n">
        <v>-5598</v>
      </c>
      <c r="D35" s="6" t="n">
        <v>-4374</v>
      </c>
      <c r="E35" s="12">
        <f>SUM(Engine!C35:F35)</f>
        <v/>
      </c>
      <c r="F35" s="2">
        <f>IF(D35="","n/a",IF(E35=D35,"OK","FAIL"))</f>
        <v/>
      </c>
    </row>
    <row r="36">
      <c r="A36" s="5" t="inlineStr">
        <is>
          <t xml:space="preserve">        in surrender charge (unplanned)</t>
        </is>
      </c>
      <c r="B36" s="6" t="n"/>
      <c r="C36" s="6" t="n">
        <v>-3127</v>
      </c>
      <c r="D36" s="6" t="n">
        <v>-3390</v>
      </c>
      <c r="E36" s="12">
        <f>SUM(Engine!C36:F36)</f>
        <v/>
      </c>
      <c r="F36" s="2">
        <f>IF(D36="","n/a",IF(E36=D36,"OK","FAIL"))</f>
        <v/>
      </c>
    </row>
    <row r="37">
      <c r="A37" s="2" t="inlineStr">
        <is>
          <t xml:space="preserve">   check: policyholder = its three parts</t>
        </is>
      </c>
      <c r="B37" s="2">
        <f>IF(B36="","n/a",IF(B33=SUM(B34:B36),"OK","FAIL"))</f>
        <v/>
      </c>
      <c r="C37" s="2">
        <f>IF(C36="","n/a",IF(C33=SUM(C34:C36),"OK","FAIL"))</f>
        <v/>
      </c>
      <c r="D37" s="2">
        <f>IF(D36="","n/a",IF(D33=SUM(D34:D36),"OK","FAIL"))</f>
        <v/>
      </c>
    </row>
    <row r="38">
      <c r="A38" s="2" t="inlineStr">
        <is>
          <t xml:space="preserve">   check: maturity + policyholder = Athene outflows</t>
        </is>
      </c>
      <c r="B38" s="2">
        <f>IF(B26="","n/a",IF(B32+B33=B26,"OK","FAIL"))</f>
        <v/>
      </c>
      <c r="C38" s="2">
        <f>IF(C26="","n/a",IF(C32+C33=C26,"OK","FAIL"))</f>
        <v/>
      </c>
      <c r="D38" s="2">
        <f>IF(D26="","n/a",IF(D32+D33=D26,"OK","FAIL"))</f>
        <v/>
      </c>
    </row>
    <row r="40">
      <c r="A40" s="1" t="inlineStr">
        <is>
          <t>NET FLOWS</t>
        </is>
      </c>
    </row>
    <row r="41">
      <c r="A41" s="8" t="inlineStr">
        <is>
          <t>= Net flows (inflows + outflows)</t>
        </is>
      </c>
      <c r="B41" s="9">
        <f>B14+B28</f>
        <v/>
      </c>
      <c r="C41" s="9">
        <f>C14+C28</f>
        <v/>
      </c>
      <c r="D41" s="9">
        <f>D14+D28</f>
        <v/>
      </c>
    </row>
    <row r="42">
      <c r="A42" s="5" t="inlineStr">
        <is>
          <t xml:space="preserve">   reported net flows (filed)</t>
        </is>
      </c>
      <c r="B42" s="6" t="n">
        <v>31753</v>
      </c>
      <c r="C42" s="6" t="n">
        <v>37534</v>
      </c>
      <c r="D42" s="6" t="n">
        <v>47910</v>
      </c>
      <c r="E42" s="12">
        <f>SUM(Engine!C42:F42)</f>
        <v/>
      </c>
      <c r="F42" s="2">
        <f>IF(D42="","n/a",IF(E42=D42,"OK","FAIL"))</f>
        <v/>
      </c>
    </row>
    <row r="43">
      <c r="A43" s="2" t="inlineStr">
        <is>
          <t xml:space="preserve">   check</t>
        </is>
      </c>
      <c r="B43" s="2">
        <f>IF(B42="","n/a",IF(B41=B42,"OK","FAIL"))</f>
        <v/>
      </c>
      <c r="C43" s="2">
        <f>IF(C42="","n/a",IF(C41=C42,"OK","FAIL"))</f>
        <v/>
      </c>
      <c r="D43" s="2">
        <f>IF(D42="","n/a",IF(D41=D42,"OK","FAIL"))</f>
        <v/>
      </c>
    </row>
    <row r="45">
      <c r="A45" s="1" t="inlineStr">
        <is>
          <t>RESERVES — STOCK &amp; FLOW (net reserve liabilities)</t>
        </is>
      </c>
    </row>
    <row r="46">
      <c r="A46" s="5" t="inlineStr">
        <is>
          <t>Reserves — beginning</t>
        </is>
      </c>
      <c r="B46" s="6" t="n"/>
      <c r="C46" s="6" t="n">
        <v>199289</v>
      </c>
      <c r="D46" s="6" t="n">
        <v>225926</v>
      </c>
      <c r="E46" s="12">
        <f>SUM(Engine!C46:F46)</f>
        <v/>
      </c>
      <c r="F46" s="2">
        <f>IF(D46="","n/a",IF(E46=D46,"OK","FAIL"))</f>
        <v/>
      </c>
    </row>
    <row r="47">
      <c r="A47" s="5" t="inlineStr">
        <is>
          <t>+ Net inflows (Athene share)</t>
        </is>
      </c>
      <c r="B47" s="6" t="n"/>
      <c r="C47" s="6" t="n">
        <v>49857</v>
      </c>
      <c r="D47" s="6" t="n">
        <v>64658</v>
      </c>
      <c r="E47" s="12">
        <f>SUM(Engine!C47:F47)</f>
        <v/>
      </c>
      <c r="F47" s="2">
        <f>IF(D47="","n/a",IF(E47=D47,"OK","FAIL"))</f>
        <v/>
      </c>
    </row>
    <row r="48">
      <c r="A48" s="5" t="inlineStr">
        <is>
          <t>− Net withdrawals</t>
        </is>
      </c>
      <c r="B48" s="6" t="n"/>
      <c r="C48" s="6" t="n">
        <v>-27248</v>
      </c>
      <c r="D48" s="6" t="n">
        <v>-29725</v>
      </c>
      <c r="E48" s="12">
        <f>SUM(Engine!C48:F48)</f>
        <v/>
      </c>
      <c r="F48" s="2">
        <f>IF(D48="","n/a",IF(E48=D48,"OK","FAIL"))</f>
        <v/>
      </c>
    </row>
    <row r="49">
      <c r="A49" s="5" t="inlineStr">
        <is>
          <t>± ACRA ownership changes</t>
        </is>
      </c>
      <c r="B49" s="6" t="n"/>
      <c r="C49" s="6" t="n">
        <v>-1774</v>
      </c>
      <c r="D49" s="6" t="n">
        <v>0</v>
      </c>
      <c r="E49" s="12">
        <f>SUM(Engine!C49:F49)</f>
        <v/>
      </c>
      <c r="F49" s="2">
        <f>IF(D49="","n/a",IF(E49=D49,"OK","FAIL"))</f>
        <v/>
      </c>
    </row>
    <row r="50">
      <c r="A50" s="5" t="inlineStr">
        <is>
          <t>+ Other reserve changes (credited interest &amp; misc)</t>
        </is>
      </c>
      <c r="B50" s="6" t="n"/>
      <c r="C50" s="6" t="n">
        <v>5802</v>
      </c>
      <c r="D50" s="6" t="n">
        <v>10374</v>
      </c>
      <c r="E50" s="12">
        <f>SUM(Engine!C50:F50)</f>
        <v/>
      </c>
      <c r="F50" s="2">
        <f>IF(D50="","n/a",IF(E50=D50,"OK","FAIL"))</f>
        <v/>
      </c>
    </row>
    <row r="51">
      <c r="A51" s="8" t="inlineStr">
        <is>
          <t>= Reserves — ending</t>
        </is>
      </c>
      <c r="B51" s="9">
        <f>SUM(B46:B50)</f>
        <v/>
      </c>
      <c r="C51" s="9">
        <f>SUM(C46:C50)</f>
        <v/>
      </c>
      <c r="D51" s="9">
        <f>SUM(D46:D50)</f>
        <v/>
      </c>
    </row>
    <row r="52">
      <c r="A52" s="5" t="inlineStr">
        <is>
          <t xml:space="preserve">   reported ending (filed)</t>
        </is>
      </c>
      <c r="B52" s="6" t="n"/>
      <c r="C52" s="6" t="n">
        <v>225926</v>
      </c>
      <c r="D52" s="6" t="n">
        <v>271233</v>
      </c>
      <c r="E52" s="12">
        <f>SUM(Engine!C52:F52)</f>
        <v/>
      </c>
      <c r="F52" s="2">
        <f>IF(D52="","n/a",IF(E52=D52,"OK","FAIL"))</f>
        <v/>
      </c>
    </row>
    <row r="53">
      <c r="A53" s="2" t="inlineStr">
        <is>
          <t xml:space="preserve">   check: identity</t>
        </is>
      </c>
      <c r="B53" s="2">
        <f>IF(B52="","n/a",IF(B51=B52,"OK","FAIL"))</f>
        <v/>
      </c>
      <c r="C53" s="2">
        <f>IF(C52="","n/a",IF(C51=C52,"OK","FAIL"))</f>
        <v/>
      </c>
      <c r="D53" s="2">
        <f>IF(D52="","n/a",IF(D51=D52,"OK","FAIL"))</f>
        <v/>
      </c>
    </row>
    <row r="54">
      <c r="A54" s="2" t="inlineStr">
        <is>
          <t xml:space="preserve">   check: continuity (begin = prior end)</t>
        </is>
      </c>
      <c r="B54" s="2" t="inlineStr">
        <is>
          <t>n/a</t>
        </is>
      </c>
      <c r="C54" s="2">
        <f>IF(B52="","n/a",IF(C46=B52,"OK","FAIL"))</f>
        <v/>
      </c>
      <c r="D54" s="2">
        <f>IF(C52="","n/a",IF(D46=C52,"OK","FAIL"))</f>
        <v/>
      </c>
    </row>
    <row r="56">
      <c r="A56" s="1" t="inlineStr">
        <is>
          <t>THE SIDECAR LEDGER — ACRA noncontrolling interests reserves</t>
        </is>
      </c>
    </row>
    <row r="57">
      <c r="A57" s="5" t="inlineStr">
        <is>
          <t>ACRA reserves — beginning</t>
        </is>
      </c>
      <c r="B57" s="6" t="n"/>
      <c r="C57" s="6" t="n">
        <v>56651</v>
      </c>
      <c r="D57" s="6" t="n">
        <v>72164</v>
      </c>
      <c r="E57" s="12">
        <f>SUM(Engine!C57:F57)</f>
        <v/>
      </c>
      <c r="F57" s="2">
        <f>IF(D57="","n/a",IF(E57=D57,"OK","FAIL"))</f>
        <v/>
      </c>
    </row>
    <row r="58">
      <c r="A58" s="5" t="inlineStr">
        <is>
          <t>+ Inflows</t>
        </is>
      </c>
      <c r="B58" s="6" t="n"/>
      <c r="C58" s="6" t="n">
        <v>18162</v>
      </c>
      <c r="D58" s="6" t="n">
        <v>18992</v>
      </c>
      <c r="E58" s="12">
        <f>SUM(Engine!C58:F58)</f>
        <v/>
      </c>
      <c r="F58" s="2">
        <f>IF(D58="","n/a",IF(E58=D58,"OK","FAIL"))</f>
        <v/>
      </c>
    </row>
    <row r="59">
      <c r="A59" s="5" t="inlineStr">
        <is>
          <t>− Withdrawals</t>
        </is>
      </c>
      <c r="B59" s="6" t="n"/>
      <c r="C59" s="6" t="n">
        <v>-6221</v>
      </c>
      <c r="D59" s="6" t="n">
        <v>-5803</v>
      </c>
      <c r="E59" s="12">
        <f>SUM(Engine!C59:F59)</f>
        <v/>
      </c>
      <c r="F59" s="2">
        <f>IF(D59="","n/a",IF(E59=D59,"OK","FAIL"))</f>
        <v/>
      </c>
    </row>
    <row r="60">
      <c r="A60" s="5" t="inlineStr">
        <is>
          <t>± ACRA ownership changes</t>
        </is>
      </c>
      <c r="B60" s="6" t="n"/>
      <c r="C60" s="6" t="n">
        <v>1774</v>
      </c>
      <c r="D60" s="6" t="n">
        <v>0</v>
      </c>
      <c r="E60" s="12">
        <f>SUM(Engine!C60:F60)</f>
        <v/>
      </c>
      <c r="F60" s="2">
        <f>IF(D60="","n/a",IF(E60=D60,"OK","FAIL"))</f>
        <v/>
      </c>
    </row>
    <row r="61">
      <c r="A61" s="5" t="inlineStr">
        <is>
          <t>+ Other reserve changes</t>
        </is>
      </c>
      <c r="B61" s="6" t="n"/>
      <c r="C61" s="6" t="n">
        <v>1798</v>
      </c>
      <c r="D61" s="6" t="n">
        <v>4372</v>
      </c>
      <c r="E61" s="12">
        <f>SUM(Engine!C61:F61)</f>
        <v/>
      </c>
      <c r="F61" s="2">
        <f>IF(D61="","n/a",IF(E61=D61,"OK","FAIL"))</f>
        <v/>
      </c>
    </row>
    <row r="62">
      <c r="A62" s="8" t="inlineStr">
        <is>
          <t>= ACRA reserves — ending</t>
        </is>
      </c>
      <c r="B62" s="9">
        <f>SUM(B57:B61)</f>
        <v/>
      </c>
      <c r="C62" s="9">
        <f>SUM(C57:C61)</f>
        <v/>
      </c>
      <c r="D62" s="9">
        <f>SUM(D57:D61)</f>
        <v/>
      </c>
    </row>
    <row r="63">
      <c r="A63" s="5" t="inlineStr">
        <is>
          <t xml:space="preserve">   reported ending (filed)</t>
        </is>
      </c>
      <c r="B63" s="6" t="n"/>
      <c r="C63" s="6" t="n">
        <v>72164</v>
      </c>
      <c r="D63" s="6" t="n">
        <v>89725</v>
      </c>
      <c r="E63" s="12">
        <f>SUM(Engine!C63:F63)</f>
        <v/>
      </c>
      <c r="F63" s="2">
        <f>IF(D63="","n/a",IF(E63=D63,"OK","FAIL"))</f>
        <v/>
      </c>
    </row>
    <row r="64">
      <c r="A64" s="2" t="inlineStr">
        <is>
          <t xml:space="preserve">   check</t>
        </is>
      </c>
      <c r="B64" s="2">
        <f>IF(B63="","n/a",IF(B62=B63,"OK","FAIL"))</f>
        <v/>
      </c>
      <c r="C64" s="2">
        <f>IF(C63="","n/a",IF(C62=C63,"OK","FAIL"))</f>
        <v/>
      </c>
      <c r="D64" s="2">
        <f>IF(D63="","n/a",IF(D62=D63,"OK","FAIL"))</f>
        <v/>
      </c>
    </row>
    <row r="66">
      <c r="A66" s="1" t="inlineStr">
        <is>
          <t>RESERVE STOCK BY PRODUCT (period-ends / year-ends)</t>
        </is>
      </c>
    </row>
    <row r="67">
      <c r="A67" s="5" t="inlineStr">
        <is>
          <t>Indexed annuities</t>
        </is>
      </c>
      <c r="B67" s="6" t="n"/>
      <c r="C67" s="6" t="n">
        <v>82711</v>
      </c>
      <c r="D67" s="6" t="n">
        <v>87322</v>
      </c>
      <c r="E67" s="12">
        <f>SUM(Engine!C67:F67)</f>
        <v/>
      </c>
      <c r="F67" s="2">
        <f>IF(D67="","n/a",IF(E67=D67,"OK","FAIL"))</f>
        <v/>
      </c>
    </row>
    <row r="68">
      <c r="A68" s="5" t="inlineStr">
        <is>
          <t>Fixed rate annuities</t>
        </is>
      </c>
      <c r="B68" s="6" t="n"/>
      <c r="C68" s="6" t="n">
        <v>62705</v>
      </c>
      <c r="D68" s="6" t="n">
        <v>77774</v>
      </c>
      <c r="E68" s="12">
        <f>SUM(Engine!C68:F68)</f>
        <v/>
      </c>
      <c r="F68" s="2">
        <f>IF(D68="","n/a",IF(E68=D68,"OK","FAIL"))</f>
        <v/>
      </c>
    </row>
    <row r="69">
      <c r="A69" s="8" t="inlineStr">
        <is>
          <t>= Total deferred annuities</t>
        </is>
      </c>
      <c r="B69" s="9">
        <f>B67+B68</f>
        <v/>
      </c>
      <c r="C69" s="9">
        <f>C67+C68</f>
        <v/>
      </c>
      <c r="D69" s="9">
        <f>D67+D68</f>
        <v/>
      </c>
    </row>
    <row r="70">
      <c r="A70" s="5" t="inlineStr">
        <is>
          <t>Pension group annuities</t>
        </is>
      </c>
      <c r="B70" s="6" t="n"/>
      <c r="C70" s="6" t="n">
        <v>24986</v>
      </c>
      <c r="D70" s="6" t="n">
        <v>25088</v>
      </c>
      <c r="E70" s="12">
        <f>SUM(Engine!C70:F70)</f>
        <v/>
      </c>
      <c r="F70" s="2">
        <f>IF(D70="","n/a",IF(E70=D70,"OK","FAIL"))</f>
        <v/>
      </c>
    </row>
    <row r="71">
      <c r="A71" s="5" t="inlineStr">
        <is>
          <t>Payout annuities</t>
        </is>
      </c>
      <c r="B71" s="6" t="n"/>
      <c r="C71" s="6" t="n">
        <v>4701</v>
      </c>
      <c r="D71" s="6" t="n">
        <v>5066</v>
      </c>
      <c r="E71" s="12">
        <f>SUM(Engine!C71:F71)</f>
        <v/>
      </c>
      <c r="F71" s="2">
        <f>IF(D71="","n/a",IF(E71=D71,"OK","FAIL"))</f>
        <v/>
      </c>
    </row>
    <row r="72">
      <c r="A72" s="5" t="inlineStr">
        <is>
          <t>Funding agreements (the runnable slice)</t>
        </is>
      </c>
      <c r="B72" s="6" t="n"/>
      <c r="C72" s="6" t="n">
        <v>47384</v>
      </c>
      <c r="D72" s="6" t="n">
        <v>71433</v>
      </c>
      <c r="E72" s="12">
        <f>SUM(Engine!C72:F72)</f>
        <v/>
      </c>
      <c r="F72" s="2">
        <f>IF(D72="","n/a",IF(E72=D72,"OK","FAIL"))</f>
        <v/>
      </c>
    </row>
    <row r="73">
      <c r="A73" s="5" t="inlineStr">
        <is>
          <t>Life and other</t>
        </is>
      </c>
      <c r="B73" s="6" t="n"/>
      <c r="C73" s="6" t="n">
        <v>3439</v>
      </c>
      <c r="D73" s="6" t="n">
        <v>4550</v>
      </c>
      <c r="E73" s="12">
        <f>SUM(Engine!C73:F73)</f>
        <v/>
      </c>
      <c r="F73" s="2">
        <f>IF(D73="","n/a",IF(E73=D73,"OK","FAIL"))</f>
        <v/>
      </c>
    </row>
    <row r="74">
      <c r="A74" s="8" t="inlineStr">
        <is>
          <t>= Total net reserve liabilities</t>
        </is>
      </c>
      <c r="B74" s="9">
        <f>B69+SUM(B70:B73)</f>
        <v/>
      </c>
      <c r="C74" s="9">
        <f>C69+SUM(C70:C73)</f>
        <v/>
      </c>
      <c r="D74" s="9">
        <f>D69+SUM(D70:D73)</f>
        <v/>
      </c>
    </row>
    <row r="75">
      <c r="A75" s="5" t="inlineStr">
        <is>
          <t xml:space="preserve">   reported total (filed)</t>
        </is>
      </c>
      <c r="B75" s="6" t="n"/>
      <c r="C75" s="6" t="n">
        <v>225926</v>
      </c>
      <c r="D75" s="6" t="n">
        <v>271233</v>
      </c>
      <c r="E75" s="12">
        <f>SUM(Engine!C75:F75)</f>
        <v/>
      </c>
      <c r="F75" s="2">
        <f>IF(D75="","n/a",IF(E75=D75,"OK","FAIL"))</f>
        <v/>
      </c>
    </row>
    <row r="76">
      <c r="A76" s="2" t="inlineStr">
        <is>
          <t xml:space="preserve">   check (only where period-end filed)</t>
        </is>
      </c>
      <c r="B76" s="2">
        <f>IF(B75="","n/a",IF(B75="","n/a",IF(B74=B75,"OK","FAIL")))</f>
        <v/>
      </c>
      <c r="C76" s="2">
        <f>IF(C75="","n/a",IF(C75="","n/a",IF(C74=C75,"OK","FAIL")))</f>
        <v/>
      </c>
      <c r="D76" s="2">
        <f>IF(D75="","n/a",IF(D75="","n/a",IF(D74=D75,"OK","FAIL")))</f>
        <v/>
      </c>
    </row>
    <row r="78">
      <c r="A78" s="1" t="inlineStr">
        <is>
          <t>THE INCOME ENGINE — spread related earnings</t>
        </is>
      </c>
    </row>
    <row r="79">
      <c r="A79" s="5" t="inlineStr">
        <is>
          <t>Fixed income &amp; other net investment income</t>
        </is>
      </c>
      <c r="B79" s="6" t="n">
        <v>8744</v>
      </c>
      <c r="C79" s="6" t="n">
        <v>10811</v>
      </c>
      <c r="D79" s="6" t="n">
        <v>13026</v>
      </c>
      <c r="E79" s="12">
        <f>SUM(Engine!C79:F79)</f>
        <v/>
      </c>
      <c r="F79" s="2">
        <f>IF(D79="","n/a",IF(E79=D79,"OK","FAIL"))</f>
        <v/>
      </c>
    </row>
    <row r="80">
      <c r="A80" s="5" t="inlineStr">
        <is>
          <t>Alternatives net investment income</t>
        </is>
      </c>
      <c r="B80" s="6" t="n">
        <v>864</v>
      </c>
      <c r="C80" s="6" t="n">
        <v>939</v>
      </c>
      <c r="D80" s="6" t="n">
        <v>1299</v>
      </c>
      <c r="E80" s="12">
        <f>SUM(Engine!C80:F80)</f>
        <v/>
      </c>
      <c r="F80" s="2">
        <f>IF(D80="","n/a",IF(E80=D80,"OK","FAIL"))</f>
        <v/>
      </c>
    </row>
    <row r="81">
      <c r="A81" s="8" t="inlineStr">
        <is>
          <t>= Net investment earnings</t>
        </is>
      </c>
      <c r="B81" s="9">
        <f>B79+B80</f>
        <v/>
      </c>
      <c r="C81" s="9">
        <f>C79+C80</f>
        <v/>
      </c>
      <c r="D81" s="9">
        <f>D79+D80</f>
        <v/>
      </c>
    </row>
    <row r="82">
      <c r="A82" s="5" t="inlineStr">
        <is>
          <t>+ Strategic capital management fees</t>
        </is>
      </c>
      <c r="B82" s="6" t="n">
        <v>72</v>
      </c>
      <c r="C82" s="6" t="n">
        <v>105</v>
      </c>
      <c r="D82" s="6" t="n">
        <v>131</v>
      </c>
      <c r="E82" s="12">
        <f>SUM(Engine!C82:F82)</f>
        <v/>
      </c>
      <c r="F82" s="2">
        <f>IF(D82="","n/a",IF(E82=D82,"OK","FAIL"))</f>
        <v/>
      </c>
    </row>
    <row r="83">
      <c r="A83" s="5" t="inlineStr">
        <is>
          <t>− Cost of funds (what the float costs)</t>
        </is>
      </c>
      <c r="B83" s="6" t="n">
        <v>-5650</v>
      </c>
      <c r="C83" s="6" t="n">
        <v>-7702</v>
      </c>
      <c r="D83" s="6" t="n">
        <v>-10083</v>
      </c>
      <c r="E83" s="12">
        <f>SUM(Engine!C83:F83)</f>
        <v/>
      </c>
      <c r="F83" s="2">
        <f>IF(D83="","n/a",IF(E83=D83,"OK","FAIL"))</f>
        <v/>
      </c>
    </row>
    <row r="84">
      <c r="A84" s="8" t="inlineStr">
        <is>
          <t>= NET INVESTMENT SPREAD</t>
        </is>
      </c>
      <c r="B84" s="9">
        <f>SUM(B81:B83)</f>
        <v/>
      </c>
      <c r="C84" s="9">
        <f>SUM(C81:C83)</f>
        <v/>
      </c>
      <c r="D84" s="9">
        <f>SUM(D81:D83)</f>
        <v/>
      </c>
    </row>
    <row r="85">
      <c r="A85" s="5" t="inlineStr">
        <is>
          <t xml:space="preserve">   reported (filed)</t>
        </is>
      </c>
      <c r="B85" s="6" t="n">
        <v>4030</v>
      </c>
      <c r="C85" s="6" t="n">
        <v>4153</v>
      </c>
      <c r="D85" s="6" t="n">
        <v>4373</v>
      </c>
      <c r="E85" s="12">
        <f>SUM(Engine!C85:F85)</f>
        <v/>
      </c>
      <c r="F85" s="2">
        <f>IF(D85="","n/a",IF(E85=D85,"OK","FAIL"))</f>
        <v/>
      </c>
    </row>
    <row r="86">
      <c r="A86" s="2" t="inlineStr">
        <is>
          <t xml:space="preserve">   check</t>
        </is>
      </c>
      <c r="B86" s="2">
        <f>IF(B85="","n/a",IF(B84=B85,"OK","FAIL"))</f>
        <v/>
      </c>
      <c r="C86" s="2">
        <f>IF(C85="","n/a",IF(C84=C85,"OK","FAIL"))</f>
        <v/>
      </c>
      <c r="D86" s="2">
        <f>IF(D85="","n/a",IF(D84=D85,"OK","FAIL"))</f>
        <v/>
      </c>
    </row>
    <row r="87">
      <c r="A87" s="5" t="inlineStr">
        <is>
          <t>− Other operating expenses</t>
        </is>
      </c>
      <c r="B87" s="6" t="n">
        <v>-487</v>
      </c>
      <c r="C87" s="6" t="n">
        <v>-467</v>
      </c>
      <c r="D87" s="6" t="n">
        <v>-452</v>
      </c>
      <c r="E87" s="12">
        <f>SUM(Engine!C87:F87)</f>
        <v/>
      </c>
      <c r="F87" s="2">
        <f>IF(D87="","n/a",IF(E87=D87,"OK","FAIL"))</f>
        <v/>
      </c>
    </row>
    <row r="88">
      <c r="A88" s="5" t="inlineStr">
        <is>
          <t>− Interest &amp; other financing costs</t>
        </is>
      </c>
      <c r="B88" s="6" t="n">
        <v>-436</v>
      </c>
      <c r="C88" s="6" t="n">
        <v>-465</v>
      </c>
      <c r="D88" s="6" t="n">
        <v>-560</v>
      </c>
      <c r="E88" s="12">
        <f>SUM(Engine!C88:F88)</f>
        <v/>
      </c>
      <c r="F88" s="2">
        <f>IF(D88="","n/a",IF(E88=D88,"OK","FAIL"))</f>
        <v/>
      </c>
    </row>
    <row r="89">
      <c r="A89" s="8" t="inlineStr">
        <is>
          <t>= SPREAD RELATED EARNINGS</t>
        </is>
      </c>
      <c r="B89" s="9">
        <f>B84+B87+B88</f>
        <v/>
      </c>
      <c r="C89" s="9">
        <f>C84+C87+C88</f>
        <v/>
      </c>
      <c r="D89" s="9">
        <f>D84+D87+D88</f>
        <v/>
      </c>
    </row>
    <row r="90">
      <c r="A90" s="5" t="inlineStr">
        <is>
          <t xml:space="preserve">   reported (filed)</t>
        </is>
      </c>
      <c r="B90" s="6" t="n">
        <v>3107</v>
      </c>
      <c r="C90" s="6" t="n">
        <v>3221</v>
      </c>
      <c r="D90" s="6" t="n">
        <v>3361</v>
      </c>
      <c r="E90" s="12">
        <f>SUM(Engine!C90:F90)</f>
        <v/>
      </c>
      <c r="F90" s="2">
        <f>IF(D90="","n/a",IF(E90=D90,"OK","FAIL"))</f>
        <v/>
      </c>
    </row>
    <row r="91">
      <c r="A91" s="2" t="inlineStr">
        <is>
          <t xml:space="preserve">   check</t>
        </is>
      </c>
      <c r="B91" s="2">
        <f>IF(B90="","n/a",IF(B89=B90,"OK","FAIL"))</f>
        <v/>
      </c>
      <c r="C91" s="2">
        <f>IF(C90="","n/a",IF(C89=C90,"OK","FAIL"))</f>
        <v/>
      </c>
      <c r="D91" s="2">
        <f>IF(D90="","n/a",IF(D89=D90,"OK","FAIL"))</f>
        <v/>
      </c>
    </row>
    <row r="93">
      <c r="A93" s="1" t="inlineStr">
        <is>
          <t>THE RATES (annualized, as filed)</t>
        </is>
      </c>
    </row>
    <row r="94">
      <c r="A94" s="5" t="inlineStr">
        <is>
          <t>Earned — fixed income &amp; other</t>
        </is>
      </c>
      <c r="B94" s="10" t="n"/>
      <c r="C94" s="10" t="n">
        <v>0.0487</v>
      </c>
      <c r="D94" s="10" t="n">
        <v>0.0501</v>
      </c>
    </row>
    <row r="95">
      <c r="A95" s="5" t="inlineStr">
        <is>
          <t>Earned — alternatives</t>
        </is>
      </c>
      <c r="B95" s="10" t="n"/>
      <c r="C95" s="10" t="n">
        <v>0.0803</v>
      </c>
      <c r="D95" s="10" t="n">
        <v>0.1001</v>
      </c>
    </row>
    <row r="96">
      <c r="A96" s="5" t="inlineStr">
        <is>
          <t>Earned — total</t>
        </is>
      </c>
      <c r="B96" s="10" t="n"/>
      <c r="C96" s="10" t="n">
        <v>0.0503</v>
      </c>
      <c r="D96" s="10" t="n">
        <v>0.0525</v>
      </c>
    </row>
    <row r="97">
      <c r="A97" s="5" t="inlineStr">
        <is>
          <t>Cost of funds</t>
        </is>
      </c>
      <c r="B97" s="10" t="n"/>
      <c r="C97" s="10" t="n">
        <v>-0.0329</v>
      </c>
      <c r="D97" s="10" t="n">
        <v>-0.0369</v>
      </c>
    </row>
    <row r="98">
      <c r="A98" s="5" t="inlineStr">
        <is>
          <t>NET INVESTMENT SPREAD %</t>
        </is>
      </c>
      <c r="B98" s="10" t="n"/>
      <c r="C98" s="10" t="n">
        <v>0.0178</v>
      </c>
      <c r="D98" s="10" t="n">
        <v>0.0161</v>
      </c>
    </row>
    <row r="99">
      <c r="A99" s="5" t="inlineStr">
        <is>
          <t>SRE margin %</t>
        </is>
      </c>
      <c r="B99" s="10" t="n"/>
      <c r="C99" s="10" t="n">
        <v>0.0138</v>
      </c>
      <c r="D99" s="10" t="n">
        <v>0.0123</v>
      </c>
    </row>
    <row r="101">
      <c r="A101" s="1" t="inlineStr">
        <is>
          <t>THE DENOMINATOR &amp; DERIVED</t>
        </is>
      </c>
    </row>
    <row r="102">
      <c r="A102" s="5" t="inlineStr">
        <is>
          <t>Average net invested assets — fixed income</t>
        </is>
      </c>
      <c r="B102" s="6" t="n"/>
      <c r="C102" s="6" t="n">
        <v>222122</v>
      </c>
      <c r="D102" s="6" t="n">
        <v>259952</v>
      </c>
      <c r="E102" s="12">
        <f>SUM(Engine!C102:F102)</f>
        <v/>
      </c>
      <c r="F102" s="2">
        <f>IF(D102="","n/a",IF(E102=D102,"OK","FAIL"))</f>
        <v/>
      </c>
    </row>
    <row r="103">
      <c r="A103" s="5" t="inlineStr">
        <is>
          <t>Average net invested assets — alternatives</t>
        </is>
      </c>
      <c r="B103" s="6" t="n"/>
      <c r="C103" s="6" t="n">
        <v>11687</v>
      </c>
      <c r="D103" s="6" t="n">
        <v>12976</v>
      </c>
      <c r="E103" s="12">
        <f>SUM(Engine!C103:F103)</f>
        <v/>
      </c>
      <c r="F103" s="2">
        <f>IF(D103="","n/a",IF(E103=D103,"OK","FAIL"))</f>
        <v/>
      </c>
    </row>
    <row r="104">
      <c r="A104" s="8" t="inlineStr">
        <is>
          <t>= Average net invested assets</t>
        </is>
      </c>
      <c r="B104" s="9">
        <f>B102+B103</f>
        <v/>
      </c>
      <c r="C104" s="9">
        <f>C102+C103</f>
        <v/>
      </c>
      <c r="D104" s="9">
        <f>D102+D103</f>
        <v/>
      </c>
    </row>
    <row r="105">
      <c r="A105" s="8" t="inlineStr">
        <is>
          <t>Derived NIS % (spread ×1 ÷ avg assets)</t>
        </is>
      </c>
      <c r="B105" s="11">
        <f>IF(OR(B104=0,B104=""),"",B84*1/B104)</f>
        <v/>
      </c>
      <c r="C105" s="11">
        <f>IF(OR(C104=0,C104=""),"",C84*1/C104)</f>
        <v/>
      </c>
      <c r="D105" s="11">
        <f>IF(OR(D104=0,D104=""),"",D84*1/D104)</f>
        <v/>
      </c>
    </row>
    <row r="106">
      <c r="A106" s="2" t="inlineStr">
        <is>
          <t xml:space="preserve">   check vs filed NIS % (±5bp rounding)</t>
        </is>
      </c>
      <c r="B106" s="2">
        <f>IF(B98="","n/a",IF(B105="","n/a",IF(ABS(B105-B98)&lt;0.0005,"OK","FAIL")))</f>
        <v/>
      </c>
      <c r="C106" s="2">
        <f>IF(C98="","n/a",IF(C105="","n/a",IF(ABS(C105-C98)&lt;0.0005,"OK","FAIL")))</f>
        <v/>
      </c>
      <c r="D106" s="2">
        <f>IF(D98="","n/a",IF(D105="","n/a",IF(ABS(D105-D98)&lt;0.0005,"OK","FAIL")))</f>
        <v/>
      </c>
    </row>
    <row r="108">
      <c r="A108" s="1" t="inlineStr">
        <is>
          <t>THE PORTFOLIO — STATUTORY BOND BOOK, THE FEATURES WE BUILT (year-ends; footed to the dollar)</t>
        </is>
      </c>
    </row>
    <row r="109">
      <c r="A109" s="5" t="inlineStr">
        <is>
          <t>Total bond book (BACV)</t>
        </is>
      </c>
      <c r="B109" s="6" t="n">
        <v>75192.553504</v>
      </c>
      <c r="C109" s="6" t="n">
        <v>130962.441665</v>
      </c>
      <c r="D109" s="6" t="n">
        <v>158852.395199</v>
      </c>
      <c r="E109" s="12">
        <f>SUM(Engine!C109:F109)</f>
        <v/>
      </c>
      <c r="F109" s="2">
        <f>IF(D109="","n/a",IF(E109=D109,"OK","FAIL"))</f>
        <v/>
      </c>
    </row>
    <row r="110">
      <c r="A110" s="5" t="inlineStr">
        <is>
          <t xml:space="preserve">    NAIC 1 (AAA…A−)</t>
        </is>
      </c>
      <c r="B110" s="6" t="n">
        <v>43543.526367</v>
      </c>
      <c r="C110" s="6" t="n">
        <v>77605.750763</v>
      </c>
      <c r="D110" s="6" t="n">
        <v>94173.705503</v>
      </c>
      <c r="E110" s="12">
        <f>SUM(Engine!C110:F110)</f>
        <v/>
      </c>
      <c r="F110" s="2">
        <f>IF(D110="","n/a",IF(E110=D110,"OK","FAIL"))</f>
        <v/>
      </c>
    </row>
    <row r="111">
      <c r="A111" s="5" t="inlineStr">
        <is>
          <t xml:space="preserve">    NAIC 2 (BBB band)</t>
        </is>
      </c>
      <c r="B111" s="6" t="n">
        <v>28853.90278</v>
      </c>
      <c r="C111" s="6" t="n">
        <v>49115.706807</v>
      </c>
      <c r="D111" s="6" t="n">
        <v>60081.027826</v>
      </c>
      <c r="E111" s="12">
        <f>SUM(Engine!C111:F111)</f>
        <v/>
      </c>
      <c r="F111" s="2">
        <f>IF(D111="","n/a",IF(E111=D111,"OK","FAIL"))</f>
        <v/>
      </c>
    </row>
    <row r="112">
      <c r="A112" s="5" t="inlineStr">
        <is>
          <t xml:space="preserve">    Below investment grade (NAIC 3–6)</t>
        </is>
      </c>
      <c r="B112" s="6" t="n">
        <v>2795.124357</v>
      </c>
      <c r="C112" s="6" t="n">
        <v>4240.984095000001</v>
      </c>
      <c r="D112" s="6" t="n">
        <v>4597.66187</v>
      </c>
      <c r="E112" s="12">
        <f>SUM(Engine!C112:F112)</f>
        <v/>
      </c>
      <c r="F112" s="2">
        <f>IF(D112="","n/a",IF(E112=D112,"OK","FAIL"))</f>
        <v/>
      </c>
    </row>
    <row r="113">
      <c r="A113" s="2" t="inlineStr">
        <is>
          <t xml:space="preserve">   check: bands sum to total</t>
        </is>
      </c>
      <c r="B113" s="2">
        <f>IF(B109="","n/a",IF(B109="","n/a",IF(SUM(B110:B112)=B109,"OK","FAIL")))</f>
        <v/>
      </c>
      <c r="C113" s="2">
        <f>IF(C109="","n/a",IF(C109="","n/a",IF(SUM(C110:C112)=C109,"OK","FAIL")))</f>
        <v/>
      </c>
      <c r="D113" s="2">
        <f>IF(D109="","n/a",IF(D109="","n/a",IF(SUM(D110:D112)=D109,"OK","FAIL")))</f>
        <v/>
      </c>
    </row>
    <row r="114">
      <c r="A114" s="5" t="inlineStr">
        <is>
          <t xml:space="preserve">    BBB− cliff (2.C) — memo</t>
        </is>
      </c>
      <c r="B114" s="6" t="n">
        <v>9875.911306</v>
      </c>
      <c r="C114" s="6" t="n">
        <v>18165.633679</v>
      </c>
      <c r="D114" s="6" t="n">
        <v>18492.696624</v>
      </c>
      <c r="E114" s="12">
        <f>SUM(Engine!C114:F114)</f>
        <v/>
      </c>
      <c r="F114" s="2">
        <f>IF(D114="","n/a",IF(E114=D114,"OK","FAIL"))</f>
        <v/>
      </c>
    </row>
    <row r="115">
      <c r="A115" s="5" t="inlineStr">
        <is>
          <t xml:space="preserve">    Publicly rated (FE)</t>
        </is>
      </c>
      <c r="B115" s="6" t="n">
        <v>48819.998985</v>
      </c>
      <c r="C115" s="6" t="n">
        <v>83425.58113799999</v>
      </c>
      <c r="D115" s="6" t="n">
        <v>78328.447355</v>
      </c>
      <c r="E115" s="12">
        <f>SUM(Engine!C115:F115)</f>
        <v/>
      </c>
      <c r="F115" s="2">
        <f>IF(D115="","n/a",IF(E115=D115,"OK","FAIL"))</f>
        <v/>
      </c>
    </row>
    <row r="116">
      <c r="A116" s="5" t="inlineStr">
        <is>
          <t xml:space="preserve">    PRIVATE LETTER (PL) — the channel</t>
        </is>
      </c>
      <c r="B116" s="6" t="n">
        <v>11737.978237</v>
      </c>
      <c r="C116" s="6" t="n">
        <v>25500.216037</v>
      </c>
      <c r="D116" s="6" t="n">
        <v>40149.868714</v>
      </c>
      <c r="E116" s="12">
        <f>SUM(Engine!C116:F116)</f>
        <v/>
      </c>
      <c r="F116" s="2">
        <f>IF(D116="","n/a",IF(E116=D116,"OK","FAIL"))</f>
        <v/>
      </c>
    </row>
    <row r="117">
      <c r="A117" s="5" t="inlineStr">
        <is>
          <t xml:space="preserve">    Modeled (FM)</t>
        </is>
      </c>
      <c r="B117" s="6" t="n">
        <v>1620.538251</v>
      </c>
      <c r="C117" s="6" t="n">
        <v>2181.696501</v>
      </c>
      <c r="D117" s="6" t="n">
        <v>2100.771901</v>
      </c>
      <c r="E117" s="12">
        <f>SUM(Engine!C117:F117)</f>
        <v/>
      </c>
      <c r="F117" s="2">
        <f>IF(D117="","n/a",IF(E117=D117,"OK","FAIL"))</f>
        <v/>
      </c>
    </row>
    <row r="118">
      <c r="A118" s="5" t="inlineStr">
        <is>
          <t xml:space="preserve">    Self/temporary (Z,YE…)</t>
        </is>
      </c>
      <c r="B118" s="6" t="n">
        <v>2956.324502</v>
      </c>
      <c r="C118" s="6" t="n">
        <v>4473.222715</v>
      </c>
      <c r="D118" s="6" t="n">
        <v>11352.615081</v>
      </c>
      <c r="E118" s="12">
        <f>SUM(Engine!C118:F118)</f>
        <v/>
      </c>
      <c r="F118" s="2">
        <f>IF(D118="","n/a",IF(E118=D118,"OK","FAIL"))</f>
        <v/>
      </c>
    </row>
    <row r="119">
      <c r="A119" s="5" t="inlineStr">
        <is>
          <t xml:space="preserve">    Exempt/blank</t>
        </is>
      </c>
      <c r="B119" s="6" t="n">
        <v>10057.713529</v>
      </c>
      <c r="C119" s="6" t="n">
        <v>15381.725274</v>
      </c>
      <c r="D119" s="6" t="n">
        <v>26920.692148</v>
      </c>
      <c r="E119" s="12">
        <f>SUM(Engine!C119:F119)</f>
        <v/>
      </c>
      <c r="F119" s="2">
        <f>IF(D119="","n/a",IF(E119=D119,"OK","FAIL"))</f>
        <v/>
      </c>
    </row>
    <row r="120">
      <c r="A120" s="2" t="inlineStr">
        <is>
          <t xml:space="preserve">   check: sources sum to total</t>
        </is>
      </c>
      <c r="B120" s="2">
        <f>IF(B109="","n/a",IF(B109="","n/a",IF(SUM(B115:B119)=B109,"OK","FAIL")))</f>
        <v/>
      </c>
      <c r="C120" s="2">
        <f>IF(C109="","n/a",IF(C109="","n/a",IF(SUM(C115:C119)=C109,"OK","FAIL")))</f>
        <v/>
      </c>
      <c r="D120" s="2">
        <f>IF(D109="","n/a",IF(D109="","n/a",IF(SUM(D115:D119)=D109,"OK","FAIL")))</f>
        <v/>
      </c>
    </row>
    <row r="121">
      <c r="A121" s="8" t="inlineStr">
        <is>
          <t>= PL share of book</t>
        </is>
      </c>
      <c r="B121" s="11">
        <f>IF(B109="","",B116/B109)</f>
        <v/>
      </c>
      <c r="C121" s="11">
        <f>IF(C109="","",C116/C109)</f>
        <v/>
      </c>
      <c r="D121" s="11">
        <f>IF(D109="","",D116/D109)</f>
        <v/>
      </c>
    </row>
    <row r="122">
      <c r="A122" s="5" t="inlineStr">
        <is>
          <t xml:space="preserve">    CUSIP (public identifier)</t>
        </is>
      </c>
      <c r="B122" s="6" t="n">
        <v>56859.387048</v>
      </c>
      <c r="C122" s="6" t="n">
        <v>95884.99877599999</v>
      </c>
      <c r="D122" s="6" t="n">
        <v>109551.182231</v>
      </c>
      <c r="E122" s="12">
        <f>SUM(Engine!C122:F122)</f>
        <v/>
      </c>
      <c r="F122" s="2">
        <f>IF(D122="","n/a",IF(E122=D122,"OK","FAIL"))</f>
        <v/>
      </c>
    </row>
    <row r="123">
      <c r="A123" s="5" t="inlineStr">
        <is>
          <t xml:space="preserve">    PPN (private placement)</t>
        </is>
      </c>
      <c r="B123" s="6" t="n">
        <v>16677.852878</v>
      </c>
      <c r="C123" s="6" t="n">
        <v>28224.932159</v>
      </c>
      <c r="D123" s="6" t="n">
        <v>39428.583081</v>
      </c>
      <c r="E123" s="12">
        <f>SUM(Engine!C123:F123)</f>
        <v/>
      </c>
      <c r="F123" s="2">
        <f>IF(D123="","n/a",IF(E123=D123,"OK","FAIL"))</f>
        <v/>
      </c>
    </row>
    <row r="124">
      <c r="A124" s="5" t="inlineStr">
        <is>
          <t xml:space="preserve">    No identifier</t>
        </is>
      </c>
      <c r="B124" s="6" t="n">
        <v>1655.313578</v>
      </c>
      <c r="C124" s="6" t="n">
        <v>6852.51073</v>
      </c>
      <c r="D124" s="6" t="n">
        <v>9872.629886999999</v>
      </c>
      <c r="E124" s="12">
        <f>SUM(Engine!C124:F124)</f>
        <v/>
      </c>
      <c r="F124" s="2">
        <f>IF(D124="","n/a",IF(E124=D124,"OK","FAIL"))</f>
        <v/>
      </c>
    </row>
    <row r="125">
      <c r="A125" s="8" t="inlineStr">
        <is>
          <t>= Identifier-private floor (PPN + no-ID)</t>
        </is>
      </c>
      <c r="B125" s="9">
        <f>IF(B122="","",B123+B124)</f>
        <v/>
      </c>
      <c r="C125" s="9">
        <f>IF(C122="","",C123+C124)</f>
        <v/>
      </c>
      <c r="D125" s="9">
        <f>IF(D122="","",D123+D124)</f>
        <v/>
      </c>
    </row>
    <row r="126">
      <c r="A126" s="8" t="inlineStr">
        <is>
          <t>= Private floor share of book</t>
        </is>
      </c>
      <c r="B126" s="11">
        <f>IF(B109="","",B125/B109)</f>
        <v/>
      </c>
      <c r="C126" s="11">
        <f>IF(C109="","",C125/C109)</f>
        <v/>
      </c>
      <c r="D126" s="11">
        <f>IF(D109="","",D125/D109)</f>
        <v/>
      </c>
    </row>
    <row r="127">
      <c r="A127" s="2" t="inlineStr">
        <is>
          <t xml:space="preserve">   check: identifiers sum to total</t>
        </is>
      </c>
      <c r="B127" s="2">
        <f>IF(B109="","n/a",IF(B109="","n/a",IF(SUM(B122:B124)=B109,"OK","FAIL")))</f>
        <v/>
      </c>
      <c r="C127" s="2">
        <f>IF(C109="","n/a",IF(C109="","n/a",IF(SUM(C122:C124)=C109,"OK","FAIL")))</f>
        <v/>
      </c>
      <c r="D127" s="2">
        <f>IF(D109="","n/a",IF(D109="","n/a",IF(SUM(D122:D124)=D109,"OK","FAIL")))</f>
        <v/>
      </c>
    </row>
    <row r="129">
      <c r="A129" s="1" t="inlineStr">
        <is>
          <t>THE PORTFOLIO — MANAGEMENT VIEW, NET INVESTED ASSETS BY CLASS (period-ends)</t>
        </is>
      </c>
    </row>
    <row r="130">
      <c r="A130" s="5" t="inlineStr">
        <is>
          <t xml:space="preserve">    Corporate</t>
        </is>
      </c>
      <c r="B130" s="6" t="n"/>
      <c r="C130" s="6" t="n">
        <v>86051</v>
      </c>
      <c r="D130" s="6" t="n">
        <v>86664</v>
      </c>
      <c r="E130" s="12">
        <f>SUM(Engine!C130:F130)</f>
        <v/>
      </c>
      <c r="F130" s="2">
        <f>IF(D130="","n/a",IF(E130=D130,"OK","FAIL"))</f>
        <v/>
      </c>
    </row>
    <row r="131">
      <c r="A131" s="5" t="inlineStr">
        <is>
          <t xml:space="preserve">    CLO</t>
        </is>
      </c>
      <c r="B131" s="6" t="n"/>
      <c r="C131" s="6" t="n">
        <v>27698</v>
      </c>
      <c r="D131" s="6" t="n">
        <v>25401</v>
      </c>
      <c r="E131" s="12">
        <f>SUM(Engine!C131:F131)</f>
        <v/>
      </c>
      <c r="F131" s="2">
        <f>IF(D131="","n/a",IF(E131=D131,"OK","FAIL"))</f>
        <v/>
      </c>
    </row>
    <row r="132">
      <c r="A132" s="8" t="inlineStr">
        <is>
          <t>= Credit</t>
        </is>
      </c>
      <c r="B132" s="9">
        <f>IF(B130="","",B130+B131)</f>
        <v/>
      </c>
      <c r="C132" s="9">
        <f>IF(C130="","",C130+C131)</f>
        <v/>
      </c>
      <c r="D132" s="9">
        <f>IF(D130="","",D130+D131)</f>
        <v/>
      </c>
    </row>
    <row r="133">
      <c r="A133" s="5" t="inlineStr">
        <is>
          <t xml:space="preserve">    Commercial mortgage loans</t>
        </is>
      </c>
      <c r="B133" s="6" t="n"/>
      <c r="C133" s="6" t="n">
        <v>28055</v>
      </c>
      <c r="D133" s="6" t="n">
        <v>31789</v>
      </c>
      <c r="E133" s="12">
        <f>SUM(Engine!C133:F133)</f>
        <v/>
      </c>
      <c r="F133" s="2">
        <f>IF(D133="","n/a",IF(E133=D133,"OK","FAIL"))</f>
        <v/>
      </c>
    </row>
    <row r="134">
      <c r="A134" s="5" t="inlineStr">
        <is>
          <t xml:space="preserve">    Residential mortgage loans</t>
        </is>
      </c>
      <c r="B134" s="6" t="n"/>
      <c r="C134" s="6" t="n">
        <v>27848</v>
      </c>
      <c r="D134" s="6" t="n">
        <v>43326</v>
      </c>
      <c r="E134" s="12">
        <f>SUM(Engine!C134:F134)</f>
        <v/>
      </c>
      <c r="F134" s="2">
        <f>IF(D134="","n/a",IF(E134=D134,"OK","FAIL"))</f>
        <v/>
      </c>
    </row>
    <row r="135">
      <c r="A135" s="5" t="inlineStr">
        <is>
          <t xml:space="preserve">    RMBS</t>
        </is>
      </c>
      <c r="B135" s="6" t="n"/>
      <c r="C135" s="6" t="n">
        <v>7635</v>
      </c>
      <c r="D135" s="6" t="n">
        <v>7592</v>
      </c>
      <c r="E135" s="12">
        <f>SUM(Engine!C135:F135)</f>
        <v/>
      </c>
      <c r="F135" s="2">
        <f>IF(D135="","n/a",IF(E135=D135,"OK","FAIL"))</f>
        <v/>
      </c>
    </row>
    <row r="136">
      <c r="A136" s="5" t="inlineStr">
        <is>
          <t xml:space="preserve">    CMBS</t>
        </is>
      </c>
      <c r="B136" s="6" t="n"/>
      <c r="C136" s="6" t="n">
        <v>8243</v>
      </c>
      <c r="D136" s="6" t="n">
        <v>9877</v>
      </c>
      <c r="E136" s="12">
        <f>SUM(Engine!C136:F136)</f>
        <v/>
      </c>
      <c r="F136" s="2">
        <f>IF(D136="","n/a",IF(E136=D136,"OK","FAIL"))</f>
        <v/>
      </c>
    </row>
    <row r="137">
      <c r="A137" s="8" t="inlineStr">
        <is>
          <t>= Real estate</t>
        </is>
      </c>
      <c r="B137" s="9">
        <f>IF(B133="","",SUM(B133:B136))</f>
        <v/>
      </c>
      <c r="C137" s="9">
        <f>IF(C133="","",SUM(C133:C136))</f>
        <v/>
      </c>
      <c r="D137" s="9">
        <f>IF(D133="","",SUM(D133:D136))</f>
        <v/>
      </c>
    </row>
    <row r="138">
      <c r="A138" s="5" t="inlineStr">
        <is>
          <t xml:space="preserve">    ABS</t>
        </is>
      </c>
      <c r="B138" s="6" t="n"/>
      <c r="C138" s="6" t="n">
        <v>28670</v>
      </c>
      <c r="D138" s="6" t="n">
        <v>38417</v>
      </c>
      <c r="E138" s="12">
        <f>SUM(Engine!C138:F138)</f>
        <v/>
      </c>
      <c r="F138" s="2">
        <f>IF(D138="","n/a",IF(E138=D138,"OK","FAIL"))</f>
        <v/>
      </c>
    </row>
    <row r="139">
      <c r="A139" s="5" t="inlineStr">
        <is>
          <t xml:space="preserve">    Alternative investments</t>
        </is>
      </c>
      <c r="B139" s="6" t="n"/>
      <c r="C139" s="6" t="n">
        <v>12000</v>
      </c>
      <c r="D139" s="6" t="n">
        <v>13868</v>
      </c>
      <c r="E139" s="12">
        <f>SUM(Engine!C139:F139)</f>
        <v/>
      </c>
      <c r="F139" s="2">
        <f>IF(D139="","n/a",IF(E139=D139,"OK","FAIL"))</f>
        <v/>
      </c>
    </row>
    <row r="140">
      <c r="A140" s="5" t="inlineStr">
        <is>
          <t xml:space="preserve">    Munis / foreign government</t>
        </is>
      </c>
      <c r="B140" s="6" t="n"/>
      <c r="C140" s="6" t="n">
        <v>3237</v>
      </c>
      <c r="D140" s="6" t="n">
        <v>3081</v>
      </c>
      <c r="E140" s="12">
        <f>SUM(Engine!C140:F140)</f>
        <v/>
      </c>
      <c r="F140" s="2">
        <f>IF(D140="","n/a",IF(E140=D140,"OK","FAIL"))</f>
        <v/>
      </c>
    </row>
    <row r="141">
      <c r="A141" s="5" t="inlineStr">
        <is>
          <t xml:space="preserve">    Equity securities</t>
        </is>
      </c>
      <c r="B141" s="6" t="n"/>
      <c r="C141" s="6" t="n">
        <v>2201</v>
      </c>
      <c r="D141" s="6" t="n">
        <v>2039</v>
      </c>
      <c r="E141" s="12">
        <f>SUM(Engine!C141:F141)</f>
        <v/>
      </c>
      <c r="F141" s="2">
        <f>IF(D141="","n/a",IF(E141=D141,"OK","FAIL"))</f>
        <v/>
      </c>
    </row>
    <row r="142">
      <c r="A142" s="5" t="inlineStr">
        <is>
          <t xml:space="preserve">    Short-term investments</t>
        </is>
      </c>
      <c r="B142" s="6" t="n"/>
      <c r="C142" s="6" t="n">
        <v>1015</v>
      </c>
      <c r="D142" s="6" t="n">
        <v>207</v>
      </c>
      <c r="E142" s="12">
        <f>SUM(Engine!C142:F142)</f>
        <v/>
      </c>
      <c r="F142" s="2">
        <f>IF(D142="","n/a",IF(E142=D142,"OK","FAIL"))</f>
        <v/>
      </c>
    </row>
    <row r="143">
      <c r="A143" s="5" t="inlineStr">
        <is>
          <t xml:space="preserve">    US government and agencies</t>
        </is>
      </c>
      <c r="B143" s="6" t="n"/>
      <c r="C143" s="6" t="n">
        <v>5531</v>
      </c>
      <c r="D143" s="6" t="n">
        <v>14225</v>
      </c>
      <c r="E143" s="12">
        <f>SUM(Engine!C143:F143)</f>
        <v/>
      </c>
      <c r="F143" s="2">
        <f>IF(D143="","n/a",IF(E143=D143,"OK","FAIL"))</f>
        <v/>
      </c>
    </row>
    <row r="144">
      <c r="A144" s="8" t="inlineStr">
        <is>
          <t>= Other investments</t>
        </is>
      </c>
      <c r="B144" s="9">
        <f>IF(B138="","",SUM(B138:B143))</f>
        <v/>
      </c>
      <c r="C144" s="9">
        <f>IF(C138="","",SUM(C138:C143))</f>
        <v/>
      </c>
      <c r="D144" s="9">
        <f>IF(D138="","",SUM(D138:D143))</f>
        <v/>
      </c>
    </row>
    <row r="145">
      <c r="A145" s="5" t="inlineStr">
        <is>
          <t xml:space="preserve">    Cash and cash equivalents</t>
        </is>
      </c>
      <c r="B145" s="6" t="n"/>
      <c r="C145" s="6" t="n">
        <v>6794</v>
      </c>
      <c r="D145" s="6" t="n">
        <v>10490</v>
      </c>
      <c r="E145" s="12">
        <f>SUM(Engine!C145:F145)</f>
        <v/>
      </c>
      <c r="F145" s="2">
        <f>IF(D145="","n/a",IF(E145=D145,"OK","FAIL"))</f>
        <v/>
      </c>
    </row>
    <row r="146">
      <c r="A146" s="5" t="inlineStr">
        <is>
          <t xml:space="preserve">    Other</t>
        </is>
      </c>
      <c r="B146" s="6" t="n"/>
      <c r="C146" s="6" t="n">
        <v>3665</v>
      </c>
      <c r="D146" s="6" t="n">
        <v>5438</v>
      </c>
      <c r="E146" s="12">
        <f>SUM(Engine!C146:F146)</f>
        <v/>
      </c>
      <c r="F146" s="2">
        <f>IF(D146="","n/a",IF(E146=D146,"OK","FAIL"))</f>
        <v/>
      </c>
    </row>
    <row r="147">
      <c r="A147" s="8" t="inlineStr">
        <is>
          <t>= NET INVESTED ASSETS</t>
        </is>
      </c>
      <c r="B147" s="9">
        <f>IF(B132="","",B132+B137+B144+B145+B146)</f>
        <v/>
      </c>
      <c r="C147" s="9">
        <f>IF(C132="","",C132+C137+C144+C145+C146)</f>
        <v/>
      </c>
      <c r="D147" s="9">
        <f>IF(D132="","",D132+D137+D144+D145+D146)</f>
        <v/>
      </c>
    </row>
    <row r="148">
      <c r="A148" s="5" t="inlineStr">
        <is>
          <t xml:space="preserve">   reported (filed)</t>
        </is>
      </c>
      <c r="B148" s="6" t="n"/>
      <c r="C148" s="6" t="n">
        <v>248643</v>
      </c>
      <c r="D148" s="6" t="n">
        <v>292414</v>
      </c>
      <c r="E148" s="12">
        <f>SUM(Engine!C148:F148)</f>
        <v/>
      </c>
      <c r="F148" s="2">
        <f>IF(D148="","n/a",IF(E148=D148,"OK","FAIL"))</f>
        <v/>
      </c>
    </row>
    <row r="149">
      <c r="A149" s="2" t="inlineStr">
        <is>
          <t xml:space="preserve">   check</t>
        </is>
      </c>
      <c r="B149" s="2">
        <f>IF(B148="","n/a",IF(B148="","n/a",IF(B147=B148,"OK","FAIL")))</f>
        <v/>
      </c>
      <c r="C149" s="2">
        <f>IF(C148="","n/a",IF(C148="","n/a",IF(C147=C148,"OK","FAIL")))</f>
        <v/>
      </c>
      <c r="D149" s="2">
        <f>IF(D148="","n/a",IF(D148="","n/a",IF(D147=D148,"OK","FAIL")))</f>
        <v/>
      </c>
    </row>
    <row r="151">
      <c r="A151" s="1" t="inlineStr">
        <is>
          <t>THE PORTFOLIO — CREDIT QUALITY, NAIC-DESIGNATED ASSETS (management view, period-ends)</t>
        </is>
      </c>
    </row>
    <row r="152">
      <c r="A152" s="5" t="inlineStr">
        <is>
          <t xml:space="preserve">    NAIC 1</t>
        </is>
      </c>
      <c r="B152" s="6" t="n"/>
      <c r="C152" s="6" t="n">
        <v>93116</v>
      </c>
      <c r="D152" s="6" t="n">
        <v>100710</v>
      </c>
      <c r="E152" s="12">
        <f>SUM(Engine!C152:F152)</f>
        <v/>
      </c>
      <c r="F152" s="2">
        <f>IF(D152="","n/a",IF(E152=D152,"OK","FAIL"))</f>
        <v/>
      </c>
    </row>
    <row r="153">
      <c r="A153" s="5" t="inlineStr">
        <is>
          <t xml:space="preserve">    NAIC 2</t>
        </is>
      </c>
      <c r="B153" s="6" t="n"/>
      <c r="C153" s="6" t="n">
        <v>68559</v>
      </c>
      <c r="D153" s="6" t="n">
        <v>77217</v>
      </c>
      <c r="E153" s="12">
        <f>SUM(Engine!C153:F153)</f>
        <v/>
      </c>
      <c r="F153" s="2">
        <f>IF(D153="","n/a",IF(E153=D153,"OK","FAIL"))</f>
        <v/>
      </c>
    </row>
    <row r="154">
      <c r="A154" s="5" t="inlineStr">
        <is>
          <t xml:space="preserve">    Non-designated (IG)</t>
        </is>
      </c>
      <c r="B154" s="6" t="n"/>
      <c r="C154" s="6" t="n">
        <v>446</v>
      </c>
      <c r="D154" s="6" t="n">
        <v>415</v>
      </c>
      <c r="E154" s="12">
        <f>SUM(Engine!C154:F154)</f>
        <v/>
      </c>
      <c r="F154" s="2">
        <f>IF(D154="","n/a",IF(E154=D154,"OK","FAIL"))</f>
        <v/>
      </c>
    </row>
    <row r="155">
      <c r="A155" s="8" t="inlineStr">
        <is>
          <t>= Total investment grade</t>
        </is>
      </c>
      <c r="B155" s="9">
        <f>IF(B152="","",SUM(B152:B154))</f>
        <v/>
      </c>
      <c r="C155" s="9">
        <f>IF(C152="","",SUM(C152:C154))</f>
        <v/>
      </c>
      <c r="D155" s="9">
        <f>IF(D152="","",SUM(D152:D154))</f>
        <v/>
      </c>
    </row>
    <row r="156">
      <c r="A156" s="5" t="inlineStr">
        <is>
          <t xml:space="preserve">    NAIC 3</t>
        </is>
      </c>
      <c r="B156" s="6" t="n"/>
      <c r="C156" s="6" t="n">
        <v>3255</v>
      </c>
      <c r="D156" s="6" t="n">
        <v>4007</v>
      </c>
      <c r="E156" s="12">
        <f>SUM(Engine!C156:F156)</f>
        <v/>
      </c>
      <c r="F156" s="2">
        <f>IF(D156="","n/a",IF(E156=D156,"OK","FAIL"))</f>
        <v/>
      </c>
    </row>
    <row r="157">
      <c r="A157" s="5" t="inlineStr">
        <is>
          <t xml:space="preserve">    NAIC 4</t>
        </is>
      </c>
      <c r="B157" s="6" t="n"/>
      <c r="C157" s="6" t="n">
        <v>1296</v>
      </c>
      <c r="D157" s="6" t="n">
        <v>1431</v>
      </c>
      <c r="E157" s="12">
        <f>SUM(Engine!C157:F157)</f>
        <v/>
      </c>
      <c r="F157" s="2">
        <f>IF(D157="","n/a",IF(E157=D157,"OK","FAIL"))</f>
        <v/>
      </c>
    </row>
    <row r="158">
      <c r="A158" s="5" t="inlineStr">
        <is>
          <t xml:space="preserve">    NAIC 5</t>
        </is>
      </c>
      <c r="B158" s="6" t="n"/>
      <c r="C158" s="6" t="n">
        <v>522</v>
      </c>
      <c r="D158" s="6" t="n">
        <v>644</v>
      </c>
      <c r="E158" s="12">
        <f>SUM(Engine!C158:F158)</f>
        <v/>
      </c>
      <c r="F158" s="2">
        <f>IF(D158="","n/a",IF(E158=D158,"OK","FAIL"))</f>
        <v/>
      </c>
    </row>
    <row r="159">
      <c r="A159" s="5" t="inlineStr">
        <is>
          <t xml:space="preserve">    NAIC 6</t>
        </is>
      </c>
      <c r="B159" s="6" t="n"/>
      <c r="C159" s="6" t="n">
        <v>886</v>
      </c>
      <c r="D159" s="6" t="n">
        <v>917</v>
      </c>
      <c r="E159" s="12">
        <f>SUM(Engine!C159:F159)</f>
        <v/>
      </c>
      <c r="F159" s="2">
        <f>IF(D159="","n/a",IF(E159=D159,"OK","FAIL"))</f>
        <v/>
      </c>
    </row>
    <row r="160">
      <c r="A160" s="5" t="inlineStr">
        <is>
          <t xml:space="preserve">    Non-designated (BIG)</t>
        </is>
      </c>
      <c r="B160" s="6" t="n"/>
      <c r="C160" s="6" t="n">
        <v>0</v>
      </c>
      <c r="D160" s="6" t="n">
        <v>123</v>
      </c>
      <c r="E160" s="12">
        <f>SUM(Engine!C160:F160)</f>
        <v/>
      </c>
      <c r="F160" s="2">
        <f>IF(D160="","n/a",IF(E160=D160,"OK","FAIL"))</f>
        <v/>
      </c>
    </row>
    <row r="161">
      <c r="A161" s="8" t="inlineStr">
        <is>
          <t>= Total below investment grade</t>
        </is>
      </c>
      <c r="B161" s="9">
        <f>IF(B156="","",SUM(B156:B160))</f>
        <v/>
      </c>
      <c r="C161" s="9">
        <f>IF(C156="","",SUM(C156:C160))</f>
        <v/>
      </c>
      <c r="D161" s="9">
        <f>IF(D156="","",SUM(D156:D160))</f>
        <v/>
      </c>
    </row>
    <row r="162">
      <c r="A162" s="8" t="inlineStr">
        <is>
          <t>= Total NAIC-designated assets</t>
        </is>
      </c>
      <c r="B162" s="9">
        <f>IF(B155="","",B155+B161)</f>
        <v/>
      </c>
      <c r="C162" s="9">
        <f>IF(C155="","",C155+C161)</f>
        <v/>
      </c>
      <c r="D162" s="9">
        <f>IF(D155="","",D155+D161)</f>
        <v/>
      </c>
    </row>
    <row r="163">
      <c r="A163" s="5" t="inlineStr">
        <is>
          <t xml:space="preserve">   reported (filed)</t>
        </is>
      </c>
      <c r="B163" s="6" t="n"/>
      <c r="C163" s="6" t="n">
        <v>168080</v>
      </c>
      <c r="D163" s="6" t="n">
        <v>185464</v>
      </c>
      <c r="E163" s="12">
        <f>SUM(Engine!C163:F163)</f>
        <v/>
      </c>
      <c r="F163" s="2">
        <f>IF(D163="","n/a",IF(E163=D163,"OK","FAIL"))</f>
        <v/>
      </c>
    </row>
    <row r="164">
      <c r="A164" s="2" t="inlineStr">
        <is>
          <t xml:space="preserve">   check</t>
        </is>
      </c>
      <c r="B164" s="2">
        <f>IF(B163="","n/a",IF(B163="","n/a",IF(B162=B163,"OK","FAIL")))</f>
        <v/>
      </c>
      <c r="C164" s="2">
        <f>IF(C163="","n/a",IF(C163="","n/a",IF(C162=C163,"OK","FAIL")))</f>
        <v/>
      </c>
      <c r="D164" s="2">
        <f>IF(D163="","n/a",IF(D163="","n/a",IF(D162=D163,"OK","FAIL")))</f>
        <v/>
      </c>
    </row>
    <row r="166">
      <c r="A166" s="1" t="inlineStr">
        <is>
          <t>GAAP INCOME — TO THE NET INCOME THAT VALUES THE EQUITY</t>
        </is>
      </c>
    </row>
    <row r="167">
      <c r="A167" s="5" t="inlineStr">
        <is>
          <t xml:space="preserve">    Premiums</t>
        </is>
      </c>
      <c r="B167" s="6" t="n"/>
      <c r="C167" s="6" t="n">
        <v>1318</v>
      </c>
      <c r="D167" s="6" t="n">
        <v>2628</v>
      </c>
      <c r="E167" s="12">
        <f>SUM(Engine!C167:F167)</f>
        <v/>
      </c>
      <c r="F167" s="2">
        <f>IF(D167="","n/a",IF(E167=D167,"OK","FAIL"))</f>
        <v/>
      </c>
    </row>
    <row r="168">
      <c r="A168" s="5" t="inlineStr">
        <is>
          <t xml:space="preserve">    Product charges</t>
        </is>
      </c>
      <c r="B168" s="6" t="n"/>
      <c r="C168" s="6" t="n">
        <v>1016</v>
      </c>
      <c r="D168" s="6" t="n">
        <v>1137</v>
      </c>
      <c r="E168" s="12">
        <f>SUM(Engine!C168:F168)</f>
        <v/>
      </c>
      <c r="F168" s="2">
        <f>IF(D168="","n/a",IF(E168=D168,"OK","FAIL"))</f>
        <v/>
      </c>
    </row>
    <row r="169">
      <c r="A169" s="5" t="inlineStr">
        <is>
          <t xml:space="preserve">    Net investment income</t>
        </is>
      </c>
      <c r="B169" s="6" t="n"/>
      <c r="C169" s="6" t="n">
        <v>14481</v>
      </c>
      <c r="D169" s="6" t="n">
        <v>17847</v>
      </c>
      <c r="E169" s="12">
        <f>SUM(Engine!C169:F169)</f>
        <v/>
      </c>
      <c r="F169" s="2">
        <f>IF(D169="","n/a",IF(E169=D169,"OK","FAIL"))</f>
        <v/>
      </c>
    </row>
    <row r="170">
      <c r="A170" s="5" t="inlineStr">
        <is>
          <t xml:space="preserve">    Investment related gains (losses)</t>
        </is>
      </c>
      <c r="B170" s="6" t="n"/>
      <c r="C170" s="6" t="n">
        <v>2045</v>
      </c>
      <c r="D170" s="6" t="n">
        <v>1544</v>
      </c>
      <c r="E170" s="12">
        <f>SUM(Engine!C170:F170)</f>
        <v/>
      </c>
      <c r="F170" s="2">
        <f>IF(D170="","n/a",IF(E170=D170,"OK","FAIL"))</f>
        <v/>
      </c>
    </row>
    <row r="171">
      <c r="A171" s="5" t="inlineStr">
        <is>
          <t xml:space="preserve">    Other revenues</t>
        </is>
      </c>
      <c r="B171" s="6" t="n"/>
      <c r="C171" s="6" t="n">
        <v>19</v>
      </c>
      <c r="D171" s="6" t="n">
        <v>25</v>
      </c>
      <c r="E171" s="12">
        <f>SUM(Engine!C171:F171)</f>
        <v/>
      </c>
      <c r="F171" s="2">
        <f>IF(D171="","n/a",IF(E171=D171,"OK","FAIL"))</f>
        <v/>
      </c>
    </row>
    <row r="172">
      <c r="A172" s="5" t="inlineStr">
        <is>
          <t xml:space="preserve">    VIE net investment income</t>
        </is>
      </c>
      <c r="B172" s="6" t="n"/>
      <c r="C172" s="6" t="n">
        <v>282</v>
      </c>
      <c r="D172" s="6" t="n">
        <v>281</v>
      </c>
      <c r="E172" s="12">
        <f>SUM(Engine!C172:F172)</f>
        <v/>
      </c>
      <c r="F172" s="2">
        <f>IF(D172="","n/a",IF(E172=D172,"OK","FAIL"))</f>
        <v/>
      </c>
    </row>
    <row r="173">
      <c r="A173" s="5" t="inlineStr">
        <is>
          <t xml:space="preserve">    VIE investment related gains (losses)</t>
        </is>
      </c>
      <c r="B173" s="6" t="n"/>
      <c r="C173" s="6" t="n">
        <v>1528</v>
      </c>
      <c r="D173" s="6" t="n">
        <v>2215</v>
      </c>
      <c r="E173" s="12">
        <f>SUM(Engine!C173:F173)</f>
        <v/>
      </c>
      <c r="F173" s="2">
        <f>IF(D173="","n/a",IF(E173=D173,"OK","FAIL"))</f>
        <v/>
      </c>
    </row>
    <row r="174">
      <c r="A174" s="8" t="inlineStr">
        <is>
          <t>= Total revenues</t>
        </is>
      </c>
      <c r="B174" s="9">
        <f>IF(B167="","",SUM(B167:B173))</f>
        <v/>
      </c>
      <c r="C174" s="9">
        <f>IF(C167="","",SUM(C167:C173))</f>
        <v/>
      </c>
      <c r="D174" s="9">
        <f>IF(D167="","",SUM(D167:D173))</f>
        <v/>
      </c>
    </row>
    <row r="175">
      <c r="A175" s="5" t="inlineStr">
        <is>
          <t xml:space="preserve">   reported (filed)</t>
        </is>
      </c>
      <c r="B175" s="6" t="n"/>
      <c r="C175" s="6" t="n">
        <v>20689</v>
      </c>
      <c r="D175" s="6" t="n">
        <v>25677</v>
      </c>
      <c r="E175" s="12">
        <f>SUM(Engine!C175:F175)</f>
        <v/>
      </c>
      <c r="F175" s="2">
        <f>IF(D175="","n/a",IF(E175=D175,"OK","FAIL"))</f>
        <v/>
      </c>
    </row>
    <row r="176">
      <c r="A176" s="2" t="inlineStr">
        <is>
          <t xml:space="preserve">   check</t>
        </is>
      </c>
      <c r="B176" s="2">
        <f>IF(B175="","n/a",IF(B175="","n/a",IF(B174=B175,"OK","FAIL")))</f>
        <v/>
      </c>
      <c r="C176" s="2">
        <f>IF(C175="","n/a",IF(C175="","n/a",IF(C174=C175,"OK","FAIL")))</f>
        <v/>
      </c>
      <c r="D176" s="2">
        <f>IF(D175="","n/a",IF(D175="","n/a",IF(D174=D175,"OK","FAIL")))</f>
        <v/>
      </c>
    </row>
    <row r="177">
      <c r="A177" s="5" t="inlineStr">
        <is>
          <t xml:space="preserve">    Interest sensitive contract benefits</t>
        </is>
      </c>
      <c r="B177" s="6" t="n"/>
      <c r="C177" s="6" t="n">
        <v>8949</v>
      </c>
      <c r="D177" s="6" t="n">
        <v>12089</v>
      </c>
      <c r="E177" s="12">
        <f>SUM(Engine!C177:F177)</f>
        <v/>
      </c>
      <c r="F177" s="2">
        <f>IF(D177="","n/a",IF(E177=D177,"OK","FAIL"))</f>
        <v/>
      </c>
    </row>
    <row r="178">
      <c r="A178" s="5" t="inlineStr">
        <is>
          <t xml:space="preserve">    Future policy benefits</t>
        </is>
      </c>
      <c r="B178" s="6" t="n"/>
      <c r="C178" s="6" t="n">
        <v>3054</v>
      </c>
      <c r="D178" s="6" t="n">
        <v>4433</v>
      </c>
      <c r="E178" s="12">
        <f>SUM(Engine!C178:F178)</f>
        <v/>
      </c>
      <c r="F178" s="2">
        <f>IF(D178="","n/a",IF(E178=D178,"OK","FAIL"))</f>
        <v/>
      </c>
    </row>
    <row r="179">
      <c r="A179" s="5" t="inlineStr">
        <is>
          <t xml:space="preserve">    Market risk benefits remeasurement</t>
        </is>
      </c>
      <c r="B179" s="6" t="n"/>
      <c r="C179" s="6" t="n">
        <v>-102</v>
      </c>
      <c r="D179" s="6" t="n">
        <v>452</v>
      </c>
      <c r="E179" s="12">
        <f>SUM(Engine!C179:F179)</f>
        <v/>
      </c>
      <c r="F179" s="2">
        <f>IF(D179="","n/a",IF(E179=D179,"OK","FAIL"))</f>
        <v/>
      </c>
    </row>
    <row r="180">
      <c r="A180" s="5" t="inlineStr">
        <is>
          <t xml:space="preserve">    DAC amortization</t>
        </is>
      </c>
      <c r="B180" s="6" t="n"/>
      <c r="C180" s="6" t="n">
        <v>941</v>
      </c>
      <c r="D180" s="6" t="n">
        <v>1242</v>
      </c>
      <c r="E180" s="12">
        <f>SUM(Engine!C180:F180)</f>
        <v/>
      </c>
      <c r="F180" s="2">
        <f>IF(D180="","n/a",IF(E180=D180,"OK","FAIL"))</f>
        <v/>
      </c>
    </row>
    <row r="181">
      <c r="A181" s="5" t="inlineStr">
        <is>
          <t xml:space="preserve">    Policy and other operating expenses</t>
        </is>
      </c>
      <c r="B181" s="6" t="n"/>
      <c r="C181" s="6" t="n">
        <v>2213</v>
      </c>
      <c r="D181" s="6" t="n">
        <v>2354</v>
      </c>
      <c r="E181" s="12">
        <f>SUM(Engine!C181:F181)</f>
        <v/>
      </c>
      <c r="F181" s="2">
        <f>IF(D181="","n/a",IF(E181=D181,"OK","FAIL"))</f>
        <v/>
      </c>
    </row>
    <row r="182">
      <c r="A182" s="8" t="inlineStr">
        <is>
          <t>= Total benefits and expenses</t>
        </is>
      </c>
      <c r="B182" s="9">
        <f>IF(B177="","",SUM(B177:B181))</f>
        <v/>
      </c>
      <c r="C182" s="9">
        <f>IF(C177="","",SUM(C177:C181))</f>
        <v/>
      </c>
      <c r="D182" s="9">
        <f>IF(D177="","",SUM(D177:D181))</f>
        <v/>
      </c>
    </row>
    <row r="183">
      <c r="A183" s="5" t="inlineStr">
        <is>
          <t xml:space="preserve">    Provision for credit losses (annual, GAAP; memo — inside inv. gains/losses)</t>
        </is>
      </c>
      <c r="B183" s="6" t="n">
        <v>-335</v>
      </c>
      <c r="C183" s="6" t="n">
        <v>-181</v>
      </c>
      <c r="D183" s="6" t="n">
        <v>-111</v>
      </c>
      <c r="E183" s="12">
        <f>SUM(Engine!C183:F183)</f>
        <v/>
      </c>
      <c r="F183" s="2">
        <f>IF(D183="","n/a",IF(E183=D183,"OK","FAIL"))</f>
        <v/>
      </c>
    </row>
    <row r="184">
      <c r="A184" s="8" t="inlineStr">
        <is>
          <t>= Pre-tax income</t>
        </is>
      </c>
      <c r="B184" s="9">
        <f>IF(B174="","",B174-B182)</f>
        <v/>
      </c>
      <c r="C184" s="9">
        <f>IF(C174="","",C174-C182)</f>
        <v/>
      </c>
      <c r="D184" s="9">
        <f>IF(D174="","",D174-D182)</f>
        <v/>
      </c>
    </row>
    <row r="185">
      <c r="A185" s="5" t="inlineStr">
        <is>
          <t xml:space="preserve">    − Income tax expense (benefit)</t>
        </is>
      </c>
      <c r="B185" s="6" t="n"/>
      <c r="C185" s="6" t="n">
        <v>730</v>
      </c>
      <c r="D185" s="6" t="n">
        <v>886</v>
      </c>
      <c r="E185" s="12">
        <f>SUM(Engine!C185:F185)</f>
        <v/>
      </c>
      <c r="F185" s="2">
        <f>IF(D185="","n/a",IF(E185=D185,"OK","FAIL"))</f>
        <v/>
      </c>
    </row>
    <row r="186">
      <c r="A186" s="8" t="inlineStr">
        <is>
          <t>= NET INCOME</t>
        </is>
      </c>
      <c r="B186" s="9">
        <f>IF(B184="","",B184-B185)</f>
        <v/>
      </c>
      <c r="C186" s="9">
        <f>IF(C184="","",C184-C185)</f>
        <v/>
      </c>
      <c r="D186" s="9">
        <f>IF(D184="","",D184-D185)</f>
        <v/>
      </c>
    </row>
    <row r="187">
      <c r="A187" s="5" t="inlineStr">
        <is>
          <t xml:space="preserve">   reported net income (filed)</t>
        </is>
      </c>
      <c r="B187" s="6" t="n">
        <v>5752</v>
      </c>
      <c r="C187" s="6" t="n">
        <v>4904</v>
      </c>
      <c r="D187" s="6" t="n">
        <v>4221</v>
      </c>
      <c r="E187" s="12">
        <f>SUM(Engine!C187:F187)</f>
        <v/>
      </c>
      <c r="F187" s="2">
        <f>IF(D187="","n/a",IF(E187=D187,"OK","FAIL"))</f>
        <v/>
      </c>
    </row>
    <row r="188">
      <c r="A188" s="2" t="inlineStr">
        <is>
          <t xml:space="preserve">   check</t>
        </is>
      </c>
      <c r="B188" s="2">
        <f>IF(B187="","n/a",IF(B187="","n/a",IF(B186=B187,"OK","FAIL")))</f>
        <v/>
      </c>
      <c r="C188" s="2">
        <f>IF(C187="","n/a",IF(C187="","n/a",IF(C186=C187,"OK","FAIL")))</f>
        <v/>
      </c>
      <c r="D188" s="2">
        <f>IF(D187="","n/a",IF(D187="","n/a",IF(D186=D187,"OK","FAIL")))</f>
        <v/>
      </c>
    </row>
    <row r="189">
      <c r="A189" s="5" t="inlineStr">
        <is>
          <t xml:space="preserve">    − NI attributable to NCI (ADIP)</t>
        </is>
      </c>
      <c r="B189" s="6" t="n">
        <v>1087</v>
      </c>
      <c r="C189" s="6" t="n">
        <v>1443</v>
      </c>
      <c r="D189" s="6" t="n">
        <v>1510</v>
      </c>
      <c r="E189" s="12">
        <f>SUM(Engine!C189:F189)</f>
        <v/>
      </c>
      <c r="F189" s="2">
        <f>IF(D189="","n/a",IF(E189=D189,"OK","FAIL"))</f>
        <v/>
      </c>
    </row>
    <row r="190">
      <c r="A190" s="5" t="inlineStr">
        <is>
          <t xml:space="preserve">    − Preferred dividends (net of redemption adj.)</t>
        </is>
      </c>
      <c r="B190" s="6" t="n">
        <v>181</v>
      </c>
      <c r="C190" s="6" t="n">
        <v>181</v>
      </c>
      <c r="D190" s="6" t="n">
        <v>161</v>
      </c>
      <c r="E190" s="12">
        <f>SUM(Engine!C190:F190)</f>
        <v/>
      </c>
      <c r="F190" s="2">
        <f>IF(D190="","n/a",IF(E190=D190,"OK","FAIL"))</f>
        <v/>
      </c>
    </row>
    <row r="191">
      <c r="A191" s="5" t="inlineStr">
        <is>
          <t xml:space="preserve">    + Preferred redemption adjustment</t>
        </is>
      </c>
      <c r="B191" s="6" t="n">
        <v>0</v>
      </c>
      <c r="C191" s="6" t="n">
        <v>0</v>
      </c>
      <c r="D191" s="6" t="n">
        <v>84</v>
      </c>
      <c r="E191" s="12">
        <f>SUM(Engine!C191:F191)</f>
        <v/>
      </c>
      <c r="F191" s="2">
        <f>IF(D191="","n/a",IF(E191=D191,"OK","FAIL"))</f>
        <v/>
      </c>
    </row>
    <row r="192">
      <c r="A192" s="8" t="inlineStr">
        <is>
          <t>= NET INCOME TO COMMON — the valuation line</t>
        </is>
      </c>
      <c r="B192" s="9">
        <f>IF(B187="","",B187-B189-B190+B191)</f>
        <v/>
      </c>
      <c r="C192" s="9">
        <f>IF(C187="","",C187-C189-C190+C191)</f>
        <v/>
      </c>
      <c r="D192" s="9">
        <f>IF(D187="","",D187-D189-D190+D191)</f>
        <v/>
      </c>
    </row>
    <row r="193">
      <c r="A193" s="5" t="inlineStr">
        <is>
          <t xml:space="preserve">   reported (filed)</t>
        </is>
      </c>
      <c r="B193" s="6" t="n">
        <v>4484</v>
      </c>
      <c r="C193" s="6" t="n">
        <v>3280</v>
      </c>
      <c r="D193" s="6" t="n">
        <v>2634</v>
      </c>
      <c r="E193" s="12">
        <f>SUM(Engine!C193:F193)</f>
        <v/>
      </c>
      <c r="F193" s="2">
        <f>IF(D193="","n/a",IF(E193=D193,"OK","FAIL"))</f>
        <v/>
      </c>
    </row>
    <row r="194">
      <c r="A194" s="2" t="inlineStr">
        <is>
          <t xml:space="preserve">   check</t>
        </is>
      </c>
      <c r="B194" s="2">
        <f>IF(B193="","n/a",IF(B193="","n/a",IF(B192=B193,"OK","FAIL")))</f>
        <v/>
      </c>
      <c r="C194" s="2">
        <f>IF(C193="","n/a",IF(C193="","n/a",IF(C192=C193,"OK","FAIL")))</f>
        <v/>
      </c>
      <c r="D194" s="2">
        <f>IF(D193="","n/a",IF(D193="","n/a",IF(D192=D193,"OK","FAIL")))</f>
        <v/>
      </c>
    </row>
    <row r="196">
      <c r="A196" s="1" t="inlineStr">
        <is>
          <t>THE EQUITY UNDERNEATH — AND THE RETURN ON IT</t>
        </is>
      </c>
    </row>
    <row r="197">
      <c r="A197" s="5" t="inlineStr">
        <is>
          <t xml:space="preserve">    Additional paid-in capital</t>
        </is>
      </c>
      <c r="B197" s="6" t="n"/>
      <c r="C197" s="6" t="n">
        <v>19588</v>
      </c>
      <c r="D197" s="6" t="n">
        <v>19238</v>
      </c>
      <c r="E197" s="12">
        <f>SUM(Engine!C197:F197)</f>
        <v/>
      </c>
      <c r="F197" s="2">
        <f>IF(D197="","n/a",IF(E197=D197,"OK","FAIL"))</f>
        <v/>
      </c>
    </row>
    <row r="198">
      <c r="A198" s="5" t="inlineStr">
        <is>
          <t xml:space="preserve">    Retained earnings</t>
        </is>
      </c>
      <c r="B198" s="6" t="n"/>
      <c r="C198" s="6" t="n">
        <v>2237</v>
      </c>
      <c r="D198" s="6" t="n">
        <v>3895</v>
      </c>
      <c r="E198" s="12">
        <f>SUM(Engine!C198:F198)</f>
        <v/>
      </c>
      <c r="F198" s="2">
        <f>IF(D198="","n/a",IF(E198=D198,"OK","FAIL"))</f>
        <v/>
      </c>
    </row>
    <row r="199">
      <c r="A199" s="5" t="inlineStr">
        <is>
          <t xml:space="preserve">    AOCI (the bond-mark hole)</t>
        </is>
      </c>
      <c r="B199" s="6" t="n"/>
      <c r="C199" s="6" t="n">
        <v>-5465</v>
      </c>
      <c r="D199" s="6" t="n">
        <v>-2641</v>
      </c>
      <c r="E199" s="12">
        <f>SUM(Engine!C199:F199)</f>
        <v/>
      </c>
      <c r="F199" s="2">
        <f>IF(D199="","n/a",IF(E199=D199,"OK","FAIL"))</f>
        <v/>
      </c>
    </row>
    <row r="200">
      <c r="A200" s="8" t="inlineStr">
        <is>
          <t>= AHL stockholders equity</t>
        </is>
      </c>
      <c r="B200" s="9">
        <f>IF(B197="","",SUM(B197:B199))</f>
        <v/>
      </c>
      <c r="C200" s="9">
        <f>IF(C197="","",SUM(C197:C199))</f>
        <v/>
      </c>
      <c r="D200" s="9">
        <f>IF(D197="","",SUM(D197:D199))</f>
        <v/>
      </c>
    </row>
    <row r="201">
      <c r="A201" s="5" t="inlineStr">
        <is>
          <t xml:space="preserve">   reported (filed)</t>
        </is>
      </c>
      <c r="B201" s="6" t="n">
        <v>13838</v>
      </c>
      <c r="C201" s="6" t="n">
        <v>16360</v>
      </c>
      <c r="D201" s="6" t="n">
        <v>20492</v>
      </c>
      <c r="E201" s="12">
        <f>SUM(Engine!C201:F201)</f>
        <v/>
      </c>
      <c r="F201" s="2">
        <f>IF(D201="","n/a",IF(E201=D201,"OK","FAIL"))</f>
        <v/>
      </c>
    </row>
    <row r="202">
      <c r="A202" s="2" t="inlineStr">
        <is>
          <t xml:space="preserve">   check</t>
        </is>
      </c>
      <c r="B202" s="2">
        <f>IF(B201="","n/a",IF(B201="","n/a",IF(B200=B201,"OK","FAIL")))</f>
        <v/>
      </c>
      <c r="C202" s="2">
        <f>IF(C201="","n/a",IF(C201="","n/a",IF(C200=C201,"OK","FAIL")))</f>
        <v/>
      </c>
      <c r="D202" s="2">
        <f>IF(D201="","n/a",IF(D201="","n/a",IF(D200=D201,"OK","FAIL")))</f>
        <v/>
      </c>
    </row>
    <row r="203">
      <c r="A203" s="5" t="inlineStr">
        <is>
          <t xml:space="preserve">    Noncontrolling interests (ADIP)</t>
        </is>
      </c>
      <c r="B203" s="6" t="n">
        <v>7397</v>
      </c>
      <c r="C203" s="6" t="n">
        <v>9514</v>
      </c>
      <c r="D203" s="6" t="n">
        <v>15146</v>
      </c>
      <c r="E203" s="12">
        <f>SUM(Engine!C203:F203)</f>
        <v/>
      </c>
      <c r="F203" s="2">
        <f>IF(D203="","n/a",IF(E203=D203,"OK","FAIL"))</f>
        <v/>
      </c>
    </row>
    <row r="204">
      <c r="A204" s="8" t="inlineStr">
        <is>
          <t>= Total equity</t>
        </is>
      </c>
      <c r="B204" s="9">
        <f>IF(B201="","",B201+B203)</f>
        <v/>
      </c>
      <c r="C204" s="9">
        <f>IF(C201="","",C201+C203)</f>
        <v/>
      </c>
      <c r="D204" s="9">
        <f>IF(D201="","",D201+D203)</f>
        <v/>
      </c>
    </row>
    <row r="205">
      <c r="A205" s="5" t="inlineStr">
        <is>
          <t xml:space="preserve">   reported (filed)</t>
        </is>
      </c>
      <c r="B205" s="6" t="n">
        <v>21235</v>
      </c>
      <c r="C205" s="6" t="n">
        <v>25874</v>
      </c>
      <c r="D205" s="6" t="n">
        <v>35638</v>
      </c>
      <c r="E205" s="12">
        <f>SUM(Engine!C205:F205)</f>
        <v/>
      </c>
      <c r="F205" s="2">
        <f>IF(D205="","n/a",IF(E205=D205,"OK","FAIL"))</f>
        <v/>
      </c>
    </row>
    <row r="206">
      <c r="A206" s="2" t="inlineStr">
        <is>
          <t xml:space="preserve">   check</t>
        </is>
      </c>
      <c r="B206" s="2">
        <f>IF(B205="","n/a",IF(B205="","n/a",IF(B204=B205,"OK","FAIL")))</f>
        <v/>
      </c>
      <c r="C206" s="2">
        <f>IF(C205="","n/a",IF(C205="","n/a",IF(C204=C205,"OK","FAIL")))</f>
        <v/>
      </c>
      <c r="D206" s="2">
        <f>IF(D205="","n/a",IF(D205="","n/a",IF(D204=D205,"OK","FAIL")))</f>
        <v/>
      </c>
    </row>
    <row r="207">
      <c r="A207" s="8" t="inlineStr">
        <is>
          <t>ROE — NI-common ×1 ÷ avg AHL equity (this and prior period)</t>
        </is>
      </c>
      <c r="B207" s="2" t="inlineStr">
        <is>
          <t>n/a</t>
        </is>
      </c>
      <c r="C207" s="11">
        <f>IF(OR(C193="",C201="",B201=""),"",C193*1/((C201+B201)/2))</f>
        <v/>
      </c>
      <c r="D207" s="11">
        <f>IF(OR(D193="",D201="",C201=""),"",D193*1/((D201+C201)/2))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LIVE CHECKS — this cell must read 0</t>
        </is>
      </c>
    </row>
    <row r="3">
      <c r="A3" s="13" t="inlineStr">
        <is>
          <t>Number of failing identity checks across Engine + Engine-FY:</t>
        </is>
      </c>
      <c r="B3" s="8">
        <f>COUNTIF('Engine'!B16,"FAIL")+COUNTIF('Engine'!C16,"FAIL")+COUNTIF('Engine'!D16,"FAIL")+COUNTIF('Engine'!E16,"FAIL")+COUNTIF('Engine'!F16,"FAIL")+COUNTIF('Engine'!G16,"FAIL")+COUNTIF('Engine'!B23,"FAIL")+COUNTIF('Engine'!C23,"FAIL")+COUNTIF('Engine'!D23,"FAIL")+COUNTIF('Engine'!E23,"FAIL")+COUNTIF('Engine'!F23,"FAIL")+COUNTIF('Engine'!G23,"FAIL")+COUNTIF('Engine'!B30,"FAIL")+COUNTIF('Engine'!C30,"FAIL")+COUNTIF('Engine'!D30,"FAIL")+COUNTIF('Engine'!E30,"FAIL")+COUNTIF('Engine'!F30,"FAIL")+COUNTIF('Engine'!G30,"FAIL")+COUNTIF('Engine'!B37,"FAIL")+COUNTIF('Engine'!C37,"FAIL")+COUNTIF('Engine'!D37,"FAIL")+COUNTIF('Engine'!E37,"FAIL")+COUNTIF('Engine'!F37,"FAIL")+COUNTIF('Engine'!G37,"FAIL")+COUNTIF('Engine'!B38,"FAIL")+COUNTIF('Engine'!C38,"FAIL")+COUNTIF('Engine'!D38,"FAIL")+COUNTIF('Engine'!E38,"FAIL")+COUNTIF('Engine'!F38,"FAIL")+COUNTIF('Engine'!G38,"FAIL")+COUNTIF('Engine'!B43,"FAIL")+COUNTIF('Engine'!C43,"FAIL")+COUNTIF('Engine'!D43,"FAIL")+COUNTIF('Engine'!E43,"FAIL")+COUNTIF('Engine'!F43,"FAIL")+COUNTIF('Engine'!G43,"FAIL")+COUNTIF('Engine'!B53,"FAIL")+COUNTIF('Engine'!C53,"FAIL")+COUNTIF('Engine'!D53,"FAIL")+COUNTIF('Engine'!E53,"FAIL")+COUNTIF('Engine'!F53,"FAIL")+COUNTIF('Engine'!G53,"FAIL")+COUNTIF('Engine'!C54,"FAIL")+COUNTIF('Engine'!D54,"FAIL")+COUNTIF('Engine'!E54,"FAIL")+COUNTIF('Engine'!F54,"FAIL")+COUNTIF('Engine'!G54,"FAIL")+COUNTIF('Engine'!B64,"FAIL")+COUNTIF('Engine'!C64,"FAIL")+COUNTIF('Engine'!D64,"FAIL")+COUNTIF('Engine'!E64,"FAIL")+COUNTIF('Engine'!F64,"FAIL")+COUNTIF('Engine'!G64,"FAIL")+COUNTIF('Engine'!B76,"FAIL")+COUNTIF('Engine'!C76,"FAIL")+COUNTIF('Engine'!D76,"FAIL")+COUNTIF('Engine'!E76,"FAIL")+COUNTIF('Engine'!F76,"FAIL")+COUNTIF('Engine'!G76,"FAIL")+COUNTIF('Engine'!B86,"FAIL")+COUNTIF('Engine'!C86,"FAIL")+COUNTIF('Engine'!D86,"FAIL")+COUNTIF('Engine'!E86,"FAIL")+COUNTIF('Engine'!F86,"FAIL")+COUNTIF('Engine'!G86,"FAIL")+COUNTIF('Engine'!B91,"FAIL")+COUNTIF('Engine'!C91,"FAIL")+COUNTIF('Engine'!D91,"FAIL")+COUNTIF('Engine'!E91,"FAIL")+COUNTIF('Engine'!F91,"FAIL")+COUNTIF('Engine'!G91,"FAIL")+COUNTIF('Engine'!B106,"FAIL")+COUNTIF('Engine'!C106,"FAIL")+COUNTIF('Engine'!D106,"FAIL")+COUNTIF('Engine'!E106,"FAIL")+COUNTIF('Engine'!F106,"FAIL")+COUNTIF('Engine'!G106,"FAIL")+COUNTIF('Engine'!B113,"FAIL")+COUNTIF('Engine'!C113,"FAIL")+COUNTIF('Engine'!D113,"FAIL")+COUNTIF('Engine'!E113,"FAIL")+COUNTIF('Engine'!F113,"FAIL")+COUNTIF('Engine'!G113,"FAIL")+COUNTIF('Engine'!B120,"FAIL")+COUNTIF('Engine'!C120,"FAIL")+COUNTIF('Engine'!D120,"FAIL")+COUNTIF('Engine'!E120,"FAIL")+COUNTIF('Engine'!F120,"FAIL")+COUNTIF('Engine'!G120,"FAIL")+COUNTIF('Engine'!B127,"FAIL")+COUNTIF('Engine'!C127,"FAIL")+COUNTIF('Engine'!D127,"FAIL")+COUNTIF('Engine'!E127,"FAIL")+COUNTIF('Engine'!F127,"FAIL")+COUNTIF('Engine'!G127,"FAIL")+COUNTIF('Engine'!B149,"FAIL")+COUNTIF('Engine'!C149,"FAIL")+COUNTIF('Engine'!D149,"FAIL")+COUNTIF('Engine'!E149,"FAIL")+COUNTIF('Engine'!F149,"FAIL")+COUNTIF('Engine'!G149,"FAIL")+COUNTIF('Engine'!B164,"FAIL")+COUNTIF('Engine'!C164,"FAIL")+COUNTIF('Engine'!D164,"FAIL")+COUNTIF('Engine'!E164,"FAIL")+COUNTIF('Engine'!F164,"FAIL")+COUNTIF('Engine'!G164,"FAIL")+COUNTIF('Engine'!B176,"FAIL")+COUNTIF('Engine'!C176,"FAIL")+COUNTIF('Engine'!D176,"FAIL")+COUNTIF('Engine'!E176,"FAIL")+COUNTIF('Engine'!F176,"FAIL")+COUNTIF('Engine'!G176,"FAIL")+COUNTIF('Engine'!B188,"FAIL")+COUNTIF('Engine'!C188,"FAIL")+COUNTIF('Engine'!D188,"FAIL")+COUNTIF('Engine'!E188,"FAIL")+COUNTIF('Engine'!F188,"FAIL")+COUNTIF('Engine'!G188,"FAIL")+COUNTIF('Engine'!B194,"FAIL")+COUNTIF('Engine'!C194,"FAIL")+COUNTIF('Engine'!D194,"FAIL")+COUNTIF('Engine'!E194,"FAIL")+COUNTIF('Engine'!F194,"FAIL")+COUNTIF('Engine'!G194,"FAIL")+COUNTIF('Engine'!B202,"FAIL")+COUNTIF('Engine'!C202,"FAIL")+COUNTIF('Engine'!D202,"FAIL")+COUNTIF('Engine'!E202,"FAIL")+COUNTIF('Engine'!F202,"FAIL")+COUNTIF('Engine'!G202,"FAIL")+COUNTIF('Engine'!B206,"FAIL")+COUNTIF('Engine'!C206,"FAIL")+COUNTIF('Engine'!D206,"FAIL")+COUNTIF('Engine'!E206,"FAIL")+COUNTIF('Engine'!F206,"FAIL")+COUNTIF('Engine'!G206,"FAIL")+COUNTIF('Engine-FY'!F7,"FAIL")+COUNTIF('Engine-FY'!F8,"FAIL")+COUNTIF('Engine-FY'!F9,"FAIL")+COUNTIF('Engine-FY'!F10,"FAIL")+COUNTIF('Engine-FY'!F11,"FAIL")+COUNTIF('Engine-FY'!F13,"FAIL")+COUNTIF('Engine-FY'!F15,"FAIL")+COUNTIF('Engine-FY'!B16,"FAIL")+COUNTIF('Engine-FY'!C16,"FAIL")+COUNTIF('Engine-FY'!D16,"FAIL")+COUNTIF('Engine-FY'!F19,"FAIL")+COUNTIF('Engine-FY'!F20,"FAIL")+COUNTIF('Engine-FY'!F21,"FAIL")+COUNTIF('Engine-FY'!B23,"FAIL")+COUNTIF('Engine-FY'!C23,"FAIL")+COUNTIF('Engine-FY'!D23,"FAIL")+COUNTIF('Engine-FY'!F26,"FAIL")+COUNTIF('Engine-FY'!F27,"FAIL")+COUNTIF('Engine-FY'!F29,"FAIL")+COUNTIF('Engine-FY'!B30,"FAIL")+COUNTIF('Engine-FY'!C30,"FAIL")+COUNTIF('Engine-FY'!D30,"FAIL")+COUNTIF('Engine-FY'!F32,"FAIL")+COUNTIF('Engine-FY'!F33,"FAIL")+COUNTIF('Engine-FY'!F34,"FAIL")+COUNTIF('Engine-FY'!F35,"FAIL")+COUNTIF('Engine-FY'!F36,"FAIL")+COUNTIF('Engine-FY'!B37,"FAIL")+COUNTIF('Engine-FY'!C37,"FAIL")+COUNTIF('Engine-FY'!D37,"FAIL")+COUNTIF('Engine-FY'!B38,"FAIL")+COUNTIF('Engine-FY'!C38,"FAIL")+COUNTIF('Engine-FY'!D38,"FAIL")+COUNTIF('Engine-FY'!F42,"FAIL")+COUNTIF('Engine-FY'!B43,"FAIL")+COUNTIF('Engine-FY'!C43,"FAIL")+COUNTIF('Engine-FY'!D43,"FAIL")+COUNTIF('Engine-FY'!F46,"FAIL")+COUNTIF('Engine-FY'!F47,"FAIL")+COUNTIF('Engine-FY'!F48,"FAIL")+COUNTIF('Engine-FY'!F49,"FAIL")+COUNTIF('Engine-FY'!F50,"FAIL")+COUNTIF('Engine-FY'!F52,"FAIL")+COUNTIF('Engine-FY'!B53,"FAIL")+COUNTIF('Engine-FY'!C53,"FAIL")+COUNTIF('Engine-FY'!D53,"FAIL")+COUNTIF('Engine-FY'!C54,"FAIL")+COUNTIF('Engine-FY'!D54,"FAIL")+COUNTIF('Engine-FY'!F57,"FAIL")+COUNTIF('Engine-FY'!F58,"FAIL")+COUNTIF('Engine-FY'!F59,"FAIL")+COUNTIF('Engine-FY'!F60,"FAIL")+COUNTIF('Engine-FY'!F61,"FAIL")+COUNTIF('Engine-FY'!F63,"FAIL")+COUNTIF('Engine-FY'!B64,"FAIL")+COUNTIF('Engine-FY'!C64,"FAIL")+COUNTIF('Engine-FY'!D64,"FAIL")+COUNTIF('Engine-FY'!F67,"FAIL")+COUNTIF('Engine-FY'!F68,"FAIL")+COUNTIF('Engine-FY'!F70,"FAIL")+COUNTIF('Engine-FY'!F71,"FAIL")+COUNTIF('Engine-FY'!F72,"FAIL")+COUNTIF('Engine-FY'!F73,"FAIL")+COUNTIF('Engine-FY'!F75,"FAIL")+COUNTIF('Engine-FY'!B76,"FAIL")+COUNTIF('Engine-FY'!C76,"FAIL")+COUNTIF('Engine-FY'!D76,"FAIL")+COUNTIF('Engine-FY'!F79,"FAIL")+COUNTIF('Engine-FY'!F80,"FAIL")+COUNTIF('Engine-FY'!F82,"FAIL")+COUNTIF('Engine-FY'!F83,"FAIL")+COUNTIF('Engine-FY'!F85,"FAIL")+COUNTIF('Engine-FY'!B86,"FAIL")+COUNTIF('Engine-FY'!C86,"FAIL")+COUNTIF('Engine-FY'!D86,"FAIL")+COUNTIF('Engine-FY'!F87,"FAIL")+COUNTIF('Engine-FY'!F88,"FAIL")+COUNTIF('Engine-FY'!F90,"FAIL")+COUNTIF('Engine-FY'!B91,"FAIL")+COUNTIF('Engine-FY'!C91,"FAIL")+COUNTIF('Engine-FY'!D91,"FAIL")+COUNTIF('Engine-FY'!F102,"FAIL")+COUNTIF('Engine-FY'!F103,"FAIL")+COUNTIF('Engine-FY'!B106,"FAIL")+COUNTIF('Engine-FY'!C106,"FAIL")+COUNTIF('Engine-FY'!D106,"FAIL")+COUNTIF('Engine-FY'!F109,"FAIL")+COUNTIF('Engine-FY'!F110,"FAIL")+COUNTIF('Engine-FY'!F111,"FAIL")+COUNTIF('Engine-FY'!F112,"FAIL")+COUNTIF('Engine-FY'!B113,"FAIL")+COUNTIF('Engine-FY'!C113,"FAIL")+COUNTIF('Engine-FY'!D113,"FAIL")+COUNTIF('Engine-FY'!F114,"FAIL")+COUNTIF('Engine-FY'!F115,"FAIL")+COUNTIF('Engine-FY'!F116,"FAIL")+COUNTIF('Engine-FY'!F117,"FAIL")+COUNTIF('Engine-FY'!F118,"FAIL")+COUNTIF('Engine-FY'!F119,"FAIL")+COUNTIF('Engine-FY'!B120,"FAIL")+COUNTIF('Engine-FY'!C120,"FAIL")+COUNTIF('Engine-FY'!D120,"FAIL")+COUNTIF('Engine-FY'!F122,"FAIL")+COUNTIF('Engine-FY'!F123,"FAIL")+COUNTIF('Engine-FY'!F124,"FAIL")+COUNTIF('Engine-FY'!B127,"FAIL")+COUNTIF('Engine-FY'!C127,"FAIL")+COUNTIF('Engine-FY'!D127,"FAIL")+COUNTIF('Engine-FY'!F130,"FAIL")+COUNTIF('Engine-FY'!F131,"FAIL")+COUNTIF('Engine-FY'!F133,"FAIL")+COUNTIF('Engine-FY'!F134,"FAIL")+COUNTIF('Engine-FY'!F135,"FAIL")+COUNTIF('Engine-FY'!F136,"FAIL")+COUNTIF('Engine-FY'!F138,"FAIL")+COUNTIF('Engine-FY'!F139,"FAIL")+COUNTIF('Engine-FY'!F140,"FAIL")+COUNTIF('Engine-FY'!F141,"FAIL")+COUNTIF('Engine-FY'!F142,"FAIL")+COUNTIF('Engine-FY'!F143,"FAIL")+COUNTIF('Engine-FY'!F145,"FAIL")+COUNTIF('Engine-FY'!F146,"FAIL")+COUNTIF('Engine-FY'!F148,"FAIL")+COUNTIF('Engine-FY'!B149,"FAIL")+COUNTIF('Engine-FY'!C149,"FAIL")+COUNTIF('Engine-FY'!D149,"FAIL")+COUNTIF('Engine-FY'!F152,"FAIL")+COUNTIF('Engine-FY'!F153,"FAIL")+COUNTIF('Engine-FY'!F154,"FAIL")+COUNTIF('Engine-FY'!F156,"FAIL")+COUNTIF('Engine-FY'!F157,"FAIL")+COUNTIF('Engine-FY'!F158,"FAIL")+COUNTIF('Engine-FY'!F159,"FAIL")+COUNTIF('Engine-FY'!F160,"FAIL")+COUNTIF('Engine-FY'!F163,"FAIL")+COUNTIF('Engine-FY'!B164,"FAIL")+COUNTIF('Engine-FY'!C164,"FAIL")+COUNTIF('Engine-FY'!D164,"FAIL")+COUNTIF('Engine-FY'!F167,"FAIL")+COUNTIF('Engine-FY'!F168,"FAIL")+COUNTIF('Engine-FY'!F169,"FAIL")+COUNTIF('Engine-FY'!F170,"FAIL")+COUNTIF('Engine-FY'!F171,"FAIL")+COUNTIF('Engine-FY'!F172,"FAIL")+COUNTIF('Engine-FY'!F173,"FAIL")+COUNTIF('Engine-FY'!F175,"FAIL")+COUNTIF('Engine-FY'!B176,"FAIL")+COUNTIF('Engine-FY'!C176,"FAIL")+COUNTIF('Engine-FY'!D176,"FAIL")+COUNTIF('Engine-FY'!F177,"FAIL")+COUNTIF('Engine-FY'!F178,"FAIL")+COUNTIF('Engine-FY'!F179,"FAIL")+COUNTIF('Engine-FY'!F180,"FAIL")+COUNTIF('Engine-FY'!F181,"FAIL")+COUNTIF('Engine-FY'!F183,"FAIL")+COUNTIF('Engine-FY'!F185,"FAIL")+COUNTIF('Engine-FY'!F187,"FAIL")+COUNTIF('Engine-FY'!B188,"FAIL")+COUNTIF('Engine-FY'!C188,"FAIL")+COUNTIF('Engine-FY'!D188,"FAIL")+COUNTIF('Engine-FY'!F189,"FAIL")+COUNTIF('Engine-FY'!F190,"FAIL")+COUNTIF('Engine-FY'!F191,"FAIL")+COUNTIF('Engine-FY'!F193,"FAIL")+COUNTIF('Engine-FY'!B194,"FAIL")+COUNTIF('Engine-FY'!C194,"FAIL")+COUNTIF('Engine-FY'!D194,"FAIL")+COUNTIF('Engine-FY'!F197,"FAIL")+COUNTIF('Engine-FY'!F198,"FAIL")+COUNTIF('Engine-FY'!F199,"FAIL")+COUNTIF('Engine-FY'!F201,"FAIL")+COUNTIF('Engine-FY'!B202,"FAIL")+COUNTIF('Engine-FY'!C202,"FAIL")+COUNTIF('Engine-FY'!D202,"FAIL")+COUNTIF('Engine-FY'!F203,"FAIL")+COUNTIF('Engine-FY'!F205,"FAIL")+COUNTIF('Engine-FY'!B206,"FAIL")+COUNTIF('Engine-FY'!C206,"FAIL")+COUNTIF('Engine-FY'!D206,"FAIL")</f>
        <v/>
      </c>
    </row>
    <row r="5">
      <c r="A5" s="2" t="inlineStr">
        <is>
          <t>Checks watched: 316 cells — totals cross-cuts, rollforward identities, continuity, SRE chain, derived spread, and the quarterly-vs-annual source audit.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8" t="inlineStr">
        <is>
          <t>period</t>
        </is>
      </c>
      <c r="B1" s="8" t="inlineStr">
        <is>
          <t>metric</t>
        </is>
      </c>
      <c r="C1" s="8" t="inlineStr">
        <is>
          <t>value</t>
        </is>
      </c>
      <c r="D1" s="8" t="inlineStr">
        <is>
          <t>source</t>
        </is>
      </c>
    </row>
    <row r="2">
      <c r="A2" s="13" t="inlineStr">
        <is>
          <t>1Q25</t>
        </is>
      </c>
      <c r="B2" s="13" t="inlineStr">
        <is>
          <t>acra_begin</t>
        </is>
      </c>
      <c r="C2" s="13" t="n">
        <v>72164</v>
      </c>
      <c r="D2" s="13" t="inlineStr">
        <is>
          <t>supplement</t>
        </is>
      </c>
    </row>
    <row r="3">
      <c r="A3" s="13" t="inlineStr">
        <is>
          <t>1Q25</t>
        </is>
      </c>
      <c r="B3" s="13" t="inlineStr">
        <is>
          <t>acra_end</t>
        </is>
      </c>
      <c r="C3" s="13" t="n">
        <v>76842</v>
      </c>
      <c r="D3" s="13" t="inlineStr">
        <is>
          <t>supplement</t>
        </is>
      </c>
    </row>
    <row r="4">
      <c r="A4" s="13" t="inlineStr">
        <is>
          <t>1Q25</t>
        </is>
      </c>
      <c r="B4" s="13" t="inlineStr">
        <is>
          <t>acra_inflows</t>
        </is>
      </c>
      <c r="C4" s="13" t="n">
        <v>5011</v>
      </c>
      <c r="D4" s="13" t="inlineStr">
        <is>
          <t>supplement</t>
        </is>
      </c>
    </row>
    <row r="5">
      <c r="A5" s="13" t="inlineStr">
        <is>
          <t>1Q25</t>
        </is>
      </c>
      <c r="B5" s="13" t="inlineStr">
        <is>
          <t>acra_other</t>
        </is>
      </c>
      <c r="C5" s="13" t="n">
        <v>1042</v>
      </c>
      <c r="D5" s="13" t="inlineStr">
        <is>
          <t>supplement</t>
        </is>
      </c>
    </row>
    <row r="6">
      <c r="A6" s="13" t="inlineStr">
        <is>
          <t>1Q25</t>
        </is>
      </c>
      <c r="B6" s="13" t="inlineStr">
        <is>
          <t>acra_own</t>
        </is>
      </c>
      <c r="C6" s="13" t="n">
        <v>0</v>
      </c>
      <c r="D6" s="13" t="inlineStr">
        <is>
          <t>supplement</t>
        </is>
      </c>
    </row>
    <row r="7">
      <c r="A7" s="13" t="inlineStr">
        <is>
          <t>1Q25</t>
        </is>
      </c>
      <c r="B7" s="13" t="inlineStr">
        <is>
          <t>acra_withdrawals</t>
        </is>
      </c>
      <c r="C7" s="13" t="n">
        <v>-1375</v>
      </c>
      <c r="D7" s="13" t="inlineStr">
        <is>
          <t>supplement</t>
        </is>
      </c>
    </row>
    <row r="8">
      <c r="A8" s="13" t="inlineStr">
        <is>
          <t>1Q25</t>
        </is>
      </c>
      <c r="B8" s="13" t="inlineStr">
        <is>
          <t>avg_nia</t>
        </is>
      </c>
      <c r="C8" s="13" t="n">
        <v>255505</v>
      </c>
      <c r="D8" s="13" t="inlineStr">
        <is>
          <t>supplement</t>
        </is>
      </c>
    </row>
    <row r="9">
      <c r="A9" s="13" t="inlineStr">
        <is>
          <t>1Q25</t>
        </is>
      </c>
      <c r="B9" s="13" t="inlineStr">
        <is>
          <t>avg_nia_alt</t>
        </is>
      </c>
      <c r="C9" s="13" t="n">
        <v>12506</v>
      </c>
      <c r="D9" s="13" t="inlineStr">
        <is>
          <t>supplement</t>
        </is>
      </c>
    </row>
    <row r="10">
      <c r="A10" s="13" t="inlineStr">
        <is>
          <t>1Q25</t>
        </is>
      </c>
      <c r="B10" s="13" t="inlineStr">
        <is>
          <t>avg_nia_fi</t>
        </is>
      </c>
      <c r="C10" s="13" t="n">
        <v>242999</v>
      </c>
      <c r="D10" s="13" t="inlineStr">
        <is>
          <t>supplement</t>
        </is>
      </c>
    </row>
    <row r="11">
      <c r="A11" s="13" t="inlineStr">
        <is>
          <t>1Q25</t>
        </is>
      </c>
      <c r="B11" s="13" t="inlineStr">
        <is>
          <t>core_outflows</t>
        </is>
      </c>
      <c r="C11" s="13" t="n">
        <v>-7017</v>
      </c>
      <c r="D11" s="13" t="inlineStr">
        <is>
          <t>supplement</t>
        </is>
      </c>
    </row>
    <row r="12">
      <c r="A12" s="13" t="inlineStr">
        <is>
          <t>1Q25</t>
        </is>
      </c>
      <c r="B12" s="13" t="inlineStr">
        <is>
          <t>flow_reins</t>
        </is>
      </c>
      <c r="C12" s="13" t="n">
        <v>4933</v>
      </c>
      <c r="D12" s="13" t="inlineStr">
        <is>
          <t>supplement</t>
        </is>
      </c>
    </row>
    <row r="13">
      <c r="A13" s="13" t="inlineStr">
        <is>
          <t>1Q25</t>
        </is>
      </c>
      <c r="B13" s="13" t="inlineStr">
        <is>
          <t>funding_agreements</t>
        </is>
      </c>
      <c r="C13" s="13" t="n">
        <v>11144</v>
      </c>
      <c r="D13" s="13" t="inlineStr">
        <is>
          <t>supplement</t>
        </is>
      </c>
    </row>
    <row r="14">
      <c r="A14" s="13" t="inlineStr">
        <is>
          <t>1Q25</t>
        </is>
      </c>
      <c r="B14" s="13" t="inlineStr">
        <is>
          <t>gaap_dac</t>
        </is>
      </c>
      <c r="C14" s="13" t="n">
        <v>267</v>
      </c>
      <c r="D14" s="13" t="inlineStr">
        <is>
          <t>supplement</t>
        </is>
      </c>
    </row>
    <row r="15">
      <c r="A15" s="13" t="inlineStr">
        <is>
          <t>1Q25</t>
        </is>
      </c>
      <c r="B15" s="13" t="inlineStr">
        <is>
          <t>gaap_fpb</t>
        </is>
      </c>
      <c r="C15" s="13" t="n">
        <v>541</v>
      </c>
      <c r="D15" s="13" t="inlineStr">
        <is>
          <t>supplement</t>
        </is>
      </c>
    </row>
    <row r="16">
      <c r="A16" s="13" t="inlineStr">
        <is>
          <t>1Q25</t>
        </is>
      </c>
      <c r="B16" s="13" t="inlineStr">
        <is>
          <t>gaap_inv_gl</t>
        </is>
      </c>
      <c r="C16" s="13" t="n">
        <v>-828</v>
      </c>
      <c r="D16" s="13" t="inlineStr">
        <is>
          <t>supplement</t>
        </is>
      </c>
    </row>
    <row r="17">
      <c r="A17" s="13" t="inlineStr">
        <is>
          <t>1Q25</t>
        </is>
      </c>
      <c r="B17" s="13" t="inlineStr">
        <is>
          <t>gaap_iscb</t>
        </is>
      </c>
      <c r="C17" s="13" t="n">
        <v>1494</v>
      </c>
      <c r="D17" s="13" t="inlineStr">
        <is>
          <t>supplement</t>
        </is>
      </c>
    </row>
    <row r="18">
      <c r="A18" s="13" t="inlineStr">
        <is>
          <t>1Q25</t>
        </is>
      </c>
      <c r="B18" s="13" t="inlineStr">
        <is>
          <t>gaap_mrb</t>
        </is>
      </c>
      <c r="C18" s="13" t="n">
        <v>385</v>
      </c>
      <c r="D18" s="13" t="inlineStr">
        <is>
          <t>supplement</t>
        </is>
      </c>
    </row>
    <row r="19">
      <c r="A19" s="13" t="inlineStr">
        <is>
          <t>1Q25</t>
        </is>
      </c>
      <c r="B19" s="13" t="inlineStr">
        <is>
          <t>gaap_ni</t>
        </is>
      </c>
      <c r="C19" s="13" t="n">
        <v>759</v>
      </c>
      <c r="D19" s="13" t="inlineStr">
        <is>
          <t>supplement</t>
        </is>
      </c>
    </row>
    <row r="20">
      <c r="A20" s="13" t="inlineStr">
        <is>
          <t>1Q25</t>
        </is>
      </c>
      <c r="B20" s="13" t="inlineStr">
        <is>
          <t>gaap_ni_ahl</t>
        </is>
      </c>
      <c r="C20" s="13" t="n">
        <v>465</v>
      </c>
      <c r="D20" s="13" t="inlineStr">
        <is>
          <t>supplement</t>
        </is>
      </c>
    </row>
    <row r="21">
      <c r="A21" s="13" t="inlineStr">
        <is>
          <t>1Q25</t>
        </is>
      </c>
      <c r="B21" s="13" t="inlineStr">
        <is>
          <t>gaap_ni_common</t>
        </is>
      </c>
      <c r="C21" s="13" t="n">
        <v>420</v>
      </c>
      <c r="D21" s="13" t="inlineStr">
        <is>
          <t>supplement</t>
        </is>
      </c>
    </row>
    <row r="22">
      <c r="A22" s="13" t="inlineStr">
        <is>
          <t>1Q25</t>
        </is>
      </c>
      <c r="B22" s="13" t="inlineStr">
        <is>
          <t>gaap_ni_nci</t>
        </is>
      </c>
      <c r="C22" s="13" t="n">
        <v>294</v>
      </c>
      <c r="D22" s="13" t="inlineStr">
        <is>
          <t>supplement</t>
        </is>
      </c>
    </row>
    <row r="23">
      <c r="A23" s="13" t="inlineStr">
        <is>
          <t>1Q25</t>
        </is>
      </c>
      <c r="B23" s="13" t="inlineStr">
        <is>
          <t>gaap_nii</t>
        </is>
      </c>
      <c r="C23" s="13" t="n">
        <v>3991</v>
      </c>
      <c r="D23" s="13" t="inlineStr">
        <is>
          <t>supplement</t>
        </is>
      </c>
    </row>
    <row r="24">
      <c r="A24" s="13" t="inlineStr">
        <is>
          <t>1Q25</t>
        </is>
      </c>
      <c r="B24" s="13" t="inlineStr">
        <is>
          <t>gaap_opex</t>
        </is>
      </c>
      <c r="C24" s="13" t="n">
        <v>565</v>
      </c>
      <c r="D24" s="13" t="inlineStr">
        <is>
          <t>supplement</t>
        </is>
      </c>
    </row>
    <row r="25">
      <c r="A25" s="13" t="inlineStr">
        <is>
          <t>1Q25</t>
        </is>
      </c>
      <c r="B25" s="13" t="inlineStr">
        <is>
          <t>gaap_other_rev</t>
        </is>
      </c>
      <c r="C25" s="13" t="n">
        <v>4</v>
      </c>
      <c r="D25" s="13" t="inlineStr">
        <is>
          <t>supplement</t>
        </is>
      </c>
    </row>
    <row r="26">
      <c r="A26" s="13" t="inlineStr">
        <is>
          <t>1Q25</t>
        </is>
      </c>
      <c r="B26" s="13" t="inlineStr">
        <is>
          <t>gaap_pref</t>
        </is>
      </c>
      <c r="C26" s="13" t="n">
        <v>45</v>
      </c>
      <c r="D26" s="13" t="inlineStr">
        <is>
          <t>supplement</t>
        </is>
      </c>
    </row>
    <row r="27">
      <c r="A27" s="13" t="inlineStr">
        <is>
          <t>1Q25</t>
        </is>
      </c>
      <c r="B27" s="13" t="inlineStr">
        <is>
          <t>gaap_pref_red</t>
        </is>
      </c>
      <c r="C27" s="13" t="n">
        <v>0</v>
      </c>
      <c r="D27" s="13" t="inlineStr">
        <is>
          <t>supplement</t>
        </is>
      </c>
    </row>
    <row r="28">
      <c r="A28" s="13" t="inlineStr">
        <is>
          <t>1Q25</t>
        </is>
      </c>
      <c r="B28" s="13" t="inlineStr">
        <is>
          <t>gaap_premiums</t>
        </is>
      </c>
      <c r="C28" s="13" t="n">
        <v>127</v>
      </c>
      <c r="D28" s="13" t="inlineStr">
        <is>
          <t>supplement</t>
        </is>
      </c>
    </row>
    <row r="29">
      <c r="A29" s="13" t="inlineStr">
        <is>
          <t>1Q25</t>
        </is>
      </c>
      <c r="B29" s="13" t="inlineStr">
        <is>
          <t>gaap_pretax</t>
        </is>
      </c>
      <c r="C29" s="13" t="n">
        <v>934</v>
      </c>
      <c r="D29" s="13" t="inlineStr">
        <is>
          <t>supplement</t>
        </is>
      </c>
    </row>
    <row r="30">
      <c r="A30" s="13" t="inlineStr">
        <is>
          <t>1Q25</t>
        </is>
      </c>
      <c r="B30" s="13" t="inlineStr">
        <is>
          <t>gaap_product_charges</t>
        </is>
      </c>
      <c r="C30" s="13" t="n">
        <v>265</v>
      </c>
      <c r="D30" s="13" t="inlineStr">
        <is>
          <t>supplement</t>
        </is>
      </c>
    </row>
    <row r="31">
      <c r="A31" s="13" t="inlineStr">
        <is>
          <t>1Q25</t>
        </is>
      </c>
      <c r="B31" s="13" t="inlineStr">
        <is>
          <t>gaap_tax</t>
        </is>
      </c>
      <c r="C31" s="13" t="n">
        <v>175</v>
      </c>
      <c r="D31" s="13" t="inlineStr">
        <is>
          <t>supplement</t>
        </is>
      </c>
    </row>
    <row r="32">
      <c r="A32" s="13" t="inlineStr">
        <is>
          <t>1Q25</t>
        </is>
      </c>
      <c r="B32" s="13" t="inlineStr">
        <is>
          <t>gaap_total_be</t>
        </is>
      </c>
      <c r="C32" s="13" t="n">
        <v>3252</v>
      </c>
      <c r="D32" s="13" t="inlineStr">
        <is>
          <t>supplement</t>
        </is>
      </c>
    </row>
    <row r="33">
      <c r="A33" s="13" t="inlineStr">
        <is>
          <t>1Q25</t>
        </is>
      </c>
      <c r="B33" s="13" t="inlineStr">
        <is>
          <t>gaap_total_rev</t>
        </is>
      </c>
      <c r="C33" s="13" t="n">
        <v>4186</v>
      </c>
      <c r="D33" s="13" t="inlineStr">
        <is>
          <t>supplement</t>
        </is>
      </c>
    </row>
    <row r="34">
      <c r="A34" s="13" t="inlineStr">
        <is>
          <t>1Q25</t>
        </is>
      </c>
      <c r="B34" s="13" t="inlineStr">
        <is>
          <t>gaap_vie_gl</t>
        </is>
      </c>
      <c r="C34" s="13" t="n">
        <v>550</v>
      </c>
      <c r="D34" s="13" t="inlineStr">
        <is>
          <t>supplement</t>
        </is>
      </c>
    </row>
    <row r="35">
      <c r="A35" s="13" t="inlineStr">
        <is>
          <t>1Q25</t>
        </is>
      </c>
      <c r="B35" s="13" t="inlineStr">
        <is>
          <t>gaap_vie_nii</t>
        </is>
      </c>
      <c r="C35" s="13" t="n">
        <v>77</v>
      </c>
      <c r="D35" s="13" t="inlineStr">
        <is>
          <t>supplement</t>
        </is>
      </c>
    </row>
    <row r="36">
      <c r="A36" s="13" t="inlineStr">
        <is>
          <t>1Q25</t>
        </is>
      </c>
      <c r="B36" s="13" t="inlineStr">
        <is>
          <t>gross_inorganic</t>
        </is>
      </c>
      <c r="C36" s="13" t="n">
        <v>0</v>
      </c>
      <c r="D36" s="13" t="inlineStr">
        <is>
          <t>supplement</t>
        </is>
      </c>
    </row>
    <row r="37">
      <c r="A37" s="13" t="inlineStr">
        <is>
          <t>1Q25</t>
        </is>
      </c>
      <c r="B37" s="13" t="inlineStr">
        <is>
          <t>gross_organic</t>
        </is>
      </c>
      <c r="C37" s="13" t="n">
        <v>25563</v>
      </c>
      <c r="D37" s="13" t="inlineStr">
        <is>
          <t>supplement</t>
        </is>
      </c>
    </row>
    <row r="38">
      <c r="A38" s="13" t="inlineStr">
        <is>
          <t>1Q25</t>
        </is>
      </c>
      <c r="B38" s="13" t="inlineStr">
        <is>
          <t>gross_outflows</t>
        </is>
      </c>
      <c r="C38" s="13" t="n">
        <v>-8392</v>
      </c>
      <c r="D38" s="13" t="inlineStr">
        <is>
          <t>supplement</t>
        </is>
      </c>
    </row>
    <row r="39">
      <c r="A39" s="13" t="inlineStr">
        <is>
          <t>1Q25</t>
        </is>
      </c>
      <c r="B39" s="13" t="inlineStr">
        <is>
          <t>inflows_adip</t>
        </is>
      </c>
      <c r="C39" s="13" t="n">
        <v>4956</v>
      </c>
      <c r="D39" s="13" t="inlineStr">
        <is>
          <t>supplement</t>
        </is>
      </c>
    </row>
    <row r="40">
      <c r="A40" s="13" t="inlineStr">
        <is>
          <t>1Q25</t>
        </is>
      </c>
      <c r="B40" s="13" t="inlineStr">
        <is>
          <t>inflows_athene</t>
        </is>
      </c>
      <c r="C40" s="13" t="n">
        <v>20118</v>
      </c>
      <c r="D40" s="13" t="inlineStr">
        <is>
          <t>supplement</t>
        </is>
      </c>
    </row>
    <row r="41">
      <c r="A41" s="13" t="inlineStr">
        <is>
          <t>1Q25</t>
        </is>
      </c>
      <c r="B41" s="13" t="inlineStr">
        <is>
          <t>inflows_ceded_3p</t>
        </is>
      </c>
      <c r="C41" s="13" t="n">
        <v>489</v>
      </c>
      <c r="D41" s="13" t="inlineStr">
        <is>
          <t>supplement</t>
        </is>
      </c>
    </row>
    <row r="42">
      <c r="A42" s="13" t="inlineStr">
        <is>
          <t>1Q25</t>
        </is>
      </c>
      <c r="B42" s="13" t="inlineStr">
        <is>
          <t>net_flows</t>
        </is>
      </c>
      <c r="C42" s="13" t="n">
        <v>17171</v>
      </c>
      <c r="D42" s="13" t="inlineStr">
        <is>
          <t>supplement</t>
        </is>
      </c>
    </row>
    <row r="43">
      <c r="A43" s="13" t="inlineStr">
        <is>
          <t>1Q25</t>
        </is>
      </c>
      <c r="B43" s="13" t="inlineStr">
        <is>
          <t>nrl_begin</t>
        </is>
      </c>
      <c r="C43" s="13" t="n">
        <v>225926</v>
      </c>
      <c r="D43" s="13" t="inlineStr">
        <is>
          <t>supplement</t>
        </is>
      </c>
    </row>
    <row r="44">
      <c r="A44" s="13" t="inlineStr">
        <is>
          <t>1Q25</t>
        </is>
      </c>
      <c r="B44" s="13" t="inlineStr">
        <is>
          <t>nrl_end</t>
        </is>
      </c>
      <c r="C44" s="13" t="n">
        <v>241666</v>
      </c>
      <c r="D44" s="13" t="inlineStr">
        <is>
          <t>supplement</t>
        </is>
      </c>
    </row>
    <row r="45">
      <c r="A45" s="13" t="inlineStr">
        <is>
          <t>1Q25</t>
        </is>
      </c>
      <c r="B45" s="13" t="inlineStr">
        <is>
          <t>other_spread</t>
        </is>
      </c>
      <c r="C45" s="13" t="n">
        <v>0</v>
      </c>
      <c r="D45" s="13" t="inlineStr">
        <is>
          <t>supplement</t>
        </is>
      </c>
    </row>
    <row r="46">
      <c r="A46" s="13" t="inlineStr">
        <is>
          <t>1Q25</t>
        </is>
      </c>
      <c r="B46" s="13" t="inlineStr">
        <is>
          <t>outflow_income_planned</t>
        </is>
      </c>
      <c r="C46" s="13" t="n">
        <v>-1680</v>
      </c>
      <c r="D46" s="13" t="inlineStr">
        <is>
          <t>supplement</t>
        </is>
      </c>
    </row>
    <row r="47">
      <c r="A47" s="13" t="inlineStr">
        <is>
          <t>1Q25</t>
        </is>
      </c>
      <c r="B47" s="13" t="inlineStr">
        <is>
          <t>outflow_isc_unplanned</t>
        </is>
      </c>
      <c r="C47" s="13" t="n">
        <v>-744</v>
      </c>
      <c r="D47" s="13" t="inlineStr">
        <is>
          <t>supplement</t>
        </is>
      </c>
    </row>
    <row r="48">
      <c r="A48" s="13" t="inlineStr">
        <is>
          <t>1Q25</t>
        </is>
      </c>
      <c r="B48" s="13" t="inlineStr">
        <is>
          <t>outflow_maturity_driven</t>
        </is>
      </c>
      <c r="C48" s="13" t="n">
        <v>-3535</v>
      </c>
      <c r="D48" s="13" t="inlineStr">
        <is>
          <t>supplement</t>
        </is>
      </c>
    </row>
    <row r="49">
      <c r="A49" s="13" t="inlineStr">
        <is>
          <t>1Q25</t>
        </is>
      </c>
      <c r="B49" s="13" t="inlineStr">
        <is>
          <t>outflow_oosc_planned</t>
        </is>
      </c>
      <c r="C49" s="13" t="n">
        <v>-1058</v>
      </c>
      <c r="D49" s="13" t="inlineStr">
        <is>
          <t>supplement</t>
        </is>
      </c>
    </row>
    <row r="50">
      <c r="A50" s="13" t="inlineStr">
        <is>
          <t>1Q25</t>
        </is>
      </c>
      <c r="B50" s="13" t="inlineStr">
        <is>
          <t>outflow_policyholder</t>
        </is>
      </c>
      <c r="C50" s="13" t="n">
        <v>-3482</v>
      </c>
      <c r="D50" s="13" t="inlineStr">
        <is>
          <t>supplement</t>
        </is>
      </c>
    </row>
    <row r="51">
      <c r="A51" s="13" t="inlineStr">
        <is>
          <t>1Q25</t>
        </is>
      </c>
      <c r="B51" s="13" t="inlineStr">
        <is>
          <t>outflows_adip</t>
        </is>
      </c>
      <c r="C51" s="13" t="n">
        <v>-1375</v>
      </c>
      <c r="D51" s="13" t="inlineStr">
        <is>
          <t>supplement</t>
        </is>
      </c>
    </row>
    <row r="52">
      <c r="A52" s="13" t="inlineStr">
        <is>
          <t>1Q25</t>
        </is>
      </c>
      <c r="B52" s="13" t="inlineStr">
        <is>
          <t>outflows_athene</t>
        </is>
      </c>
      <c r="C52" s="13" t="n">
        <v>-7017</v>
      </c>
      <c r="D52" s="13" t="inlineStr">
        <is>
          <t>supplement</t>
        </is>
      </c>
    </row>
    <row r="53">
      <c r="A53" s="13" t="inlineStr">
        <is>
          <t>1Q25</t>
        </is>
      </c>
      <c r="B53" s="13" t="inlineStr">
        <is>
          <t>pga</t>
        </is>
      </c>
      <c r="C53" s="13" t="n">
        <v>4</v>
      </c>
      <c r="D53" s="13" t="inlineStr">
        <is>
          <t>supplement</t>
        </is>
      </c>
    </row>
    <row r="54">
      <c r="A54" s="13" t="inlineStr">
        <is>
          <t>1Q25</t>
        </is>
      </c>
      <c r="B54" s="13" t="inlineStr">
        <is>
          <t>retail</t>
        </is>
      </c>
      <c r="C54" s="13" t="n">
        <v>9482</v>
      </c>
      <c r="D54" s="13" t="inlineStr">
        <is>
          <t>supplement</t>
        </is>
      </c>
    </row>
    <row r="55">
      <c r="A55" s="13" t="inlineStr">
        <is>
          <t>1Q25</t>
        </is>
      </c>
      <c r="B55" s="13" t="inlineStr">
        <is>
          <t>roll_acra_nci</t>
        </is>
      </c>
      <c r="C55" s="13" t="n">
        <v>-5011</v>
      </c>
      <c r="D55" s="13" t="inlineStr">
        <is>
          <t>supplement</t>
        </is>
      </c>
    </row>
    <row r="56">
      <c r="A56" s="13" t="inlineStr">
        <is>
          <t>1Q25</t>
        </is>
      </c>
      <c r="B56" s="13" t="inlineStr">
        <is>
          <t>roll_acra_own</t>
        </is>
      </c>
      <c r="C56" s="13" t="n">
        <v>0</v>
      </c>
      <c r="D56" s="13" t="inlineStr">
        <is>
          <t>supplement</t>
        </is>
      </c>
    </row>
    <row r="57">
      <c r="A57" s="13" t="inlineStr">
        <is>
          <t>1Q25</t>
        </is>
      </c>
      <c r="B57" s="13" t="inlineStr">
        <is>
          <t>roll_block</t>
        </is>
      </c>
      <c r="C57" s="13" t="n">
        <v>0</v>
      </c>
      <c r="D57" s="13" t="inlineStr">
        <is>
          <t>supplement</t>
        </is>
      </c>
    </row>
    <row r="58">
      <c r="A58" s="13" t="inlineStr">
        <is>
          <t>1Q25</t>
        </is>
      </c>
      <c r="B58" s="13" t="inlineStr">
        <is>
          <t>roll_ceded_3p</t>
        </is>
      </c>
      <c r="C58" s="13" t="n">
        <v>-496</v>
      </c>
      <c r="D58" s="13" t="inlineStr">
        <is>
          <t>supplement</t>
        </is>
      </c>
    </row>
    <row r="59">
      <c r="A59" s="13" t="inlineStr">
        <is>
          <t>1Q25</t>
        </is>
      </c>
      <c r="B59" s="13" t="inlineStr">
        <is>
          <t>roll_gross_inflows</t>
        </is>
      </c>
      <c r="C59" s="13" t="n">
        <v>25830</v>
      </c>
      <c r="D59" s="13" t="inlineStr">
        <is>
          <t>supplement</t>
        </is>
      </c>
    </row>
    <row r="60">
      <c r="A60" s="13" t="inlineStr">
        <is>
          <t>1Q25</t>
        </is>
      </c>
      <c r="B60" s="13" t="inlineStr">
        <is>
          <t>roll_net_inflows</t>
        </is>
      </c>
      <c r="C60" s="13" t="n">
        <v>20323</v>
      </c>
      <c r="D60" s="13" t="inlineStr">
        <is>
          <t>supplement</t>
        </is>
      </c>
    </row>
    <row r="61">
      <c r="A61" s="13" t="inlineStr">
        <is>
          <t>1Q25</t>
        </is>
      </c>
      <c r="B61" s="13" t="inlineStr">
        <is>
          <t>roll_net_withdrawals</t>
        </is>
      </c>
      <c r="C61" s="13" t="n">
        <v>-7017</v>
      </c>
      <c r="D61" s="13" t="inlineStr">
        <is>
          <t>supplement</t>
        </is>
      </c>
    </row>
    <row r="62">
      <c r="A62" s="13" t="inlineStr">
        <is>
          <t>1Q25</t>
        </is>
      </c>
      <c r="B62" s="13" t="inlineStr">
        <is>
          <t>roll_other</t>
        </is>
      </c>
      <c r="C62" s="13" t="n">
        <v>2434</v>
      </c>
      <c r="D62" s="13" t="inlineStr">
        <is>
          <t>supplement</t>
        </is>
      </c>
    </row>
    <row r="63">
      <c r="A63" s="13" t="inlineStr">
        <is>
          <t>1Q25</t>
        </is>
      </c>
      <c r="B63" s="13" t="inlineStr">
        <is>
          <t>sre</t>
        </is>
      </c>
      <c r="C63" s="13" t="n">
        <v>804</v>
      </c>
      <c r="D63" s="13" t="inlineStr">
        <is>
          <t>supplement</t>
        </is>
      </c>
    </row>
    <row r="64">
      <c r="A64" s="13" t="inlineStr">
        <is>
          <t>1Q25</t>
        </is>
      </c>
      <c r="B64" s="13" t="inlineStr">
        <is>
          <t>sre_alt_nii</t>
        </is>
      </c>
      <c r="C64" s="13" t="n">
        <v>315</v>
      </c>
      <c r="D64" s="13" t="inlineStr">
        <is>
          <t>supplement</t>
        </is>
      </c>
    </row>
    <row r="65">
      <c r="A65" s="13" t="inlineStr">
        <is>
          <t>1Q25</t>
        </is>
      </c>
      <c r="B65" s="13" t="inlineStr">
        <is>
          <t>sre_alt_nii_pct</t>
        </is>
      </c>
      <c r="C65" s="13" t="n">
        <v>10.08</v>
      </c>
      <c r="D65" s="13" t="inlineStr">
        <is>
          <t>supplement</t>
        </is>
      </c>
    </row>
    <row r="66">
      <c r="A66" s="13" t="inlineStr">
        <is>
          <t>1Q25</t>
        </is>
      </c>
      <c r="B66" s="13" t="inlineStr">
        <is>
          <t>sre_cof</t>
        </is>
      </c>
      <c r="C66" s="13" t="n">
        <v>-2210</v>
      </c>
      <c r="D66" s="13" t="inlineStr">
        <is>
          <t>supplement</t>
        </is>
      </c>
    </row>
    <row r="67">
      <c r="A67" s="13" t="inlineStr">
        <is>
          <t>1Q25</t>
        </is>
      </c>
      <c r="B67" s="13" t="inlineStr">
        <is>
          <t>sre_cof_pct</t>
        </is>
      </c>
      <c r="C67" s="13" t="n">
        <v>-3.46</v>
      </c>
      <c r="D67" s="13" t="inlineStr">
        <is>
          <t>supplement</t>
        </is>
      </c>
    </row>
    <row r="68">
      <c r="A68" s="13" t="inlineStr">
        <is>
          <t>1Q25</t>
        </is>
      </c>
      <c r="B68" s="13" t="inlineStr">
        <is>
          <t>sre_fees</t>
        </is>
      </c>
      <c r="C68" s="13" t="n">
        <v>29</v>
      </c>
      <c r="D68" s="13" t="inlineStr">
        <is>
          <t>supplement</t>
        </is>
      </c>
    </row>
    <row r="69">
      <c r="A69" s="13" t="inlineStr">
        <is>
          <t>1Q25</t>
        </is>
      </c>
      <c r="B69" s="13" t="inlineStr">
        <is>
          <t>sre_fees_pct</t>
        </is>
      </c>
      <c r="C69" s="13" t="n">
        <v>0.05</v>
      </c>
      <c r="D69" s="13" t="inlineStr">
        <is>
          <t>supplement</t>
        </is>
      </c>
    </row>
    <row r="70">
      <c r="A70" s="13" t="inlineStr">
        <is>
          <t>1Q25</t>
        </is>
      </c>
      <c r="B70" s="13" t="inlineStr">
        <is>
          <t>sre_fi_nii</t>
        </is>
      </c>
      <c r="C70" s="13" t="n">
        <v>2916</v>
      </c>
      <c r="D70" s="13" t="inlineStr">
        <is>
          <t>supplement</t>
        </is>
      </c>
    </row>
    <row r="71">
      <c r="A71" s="13" t="inlineStr">
        <is>
          <t>1Q25</t>
        </is>
      </c>
      <c r="B71" s="13" t="inlineStr">
        <is>
          <t>sre_fi_nii_pct</t>
        </is>
      </c>
      <c r="C71" s="13" t="n">
        <v>4.8</v>
      </c>
      <c r="D71" s="13" t="inlineStr">
        <is>
          <t>supplement</t>
        </is>
      </c>
    </row>
    <row r="72">
      <c r="A72" s="13" t="inlineStr">
        <is>
          <t>1Q25</t>
        </is>
      </c>
      <c r="B72" s="13" t="inlineStr">
        <is>
          <t>sre_fin</t>
        </is>
      </c>
      <c r="C72" s="13" t="n">
        <v>-130</v>
      </c>
      <c r="D72" s="13" t="inlineStr">
        <is>
          <t>supplement</t>
        </is>
      </c>
    </row>
    <row r="73">
      <c r="A73" s="13" t="inlineStr">
        <is>
          <t>1Q25</t>
        </is>
      </c>
      <c r="B73" s="13" t="inlineStr">
        <is>
          <t>sre_fin_pct</t>
        </is>
      </c>
      <c r="C73" s="13" t="n">
        <v>-0.21</v>
      </c>
      <c r="D73" s="13" t="inlineStr">
        <is>
          <t>supplement</t>
        </is>
      </c>
    </row>
    <row r="74">
      <c r="A74" s="13" t="inlineStr">
        <is>
          <t>1Q25</t>
        </is>
      </c>
      <c r="B74" s="13" t="inlineStr">
        <is>
          <t>sre_nie</t>
        </is>
      </c>
      <c r="C74" s="13" t="n">
        <v>3231</v>
      </c>
      <c r="D74" s="13" t="inlineStr">
        <is>
          <t>supplement</t>
        </is>
      </c>
    </row>
    <row r="75">
      <c r="A75" s="13" t="inlineStr">
        <is>
          <t>1Q25</t>
        </is>
      </c>
      <c r="B75" s="13" t="inlineStr">
        <is>
          <t>sre_nie_pct</t>
        </is>
      </c>
      <c r="C75" s="13" t="n">
        <v>5.06</v>
      </c>
      <c r="D75" s="13" t="inlineStr">
        <is>
          <t>supplement</t>
        </is>
      </c>
    </row>
    <row r="76">
      <c r="A76" s="13" t="inlineStr">
        <is>
          <t>1Q25</t>
        </is>
      </c>
      <c r="B76" s="13" t="inlineStr">
        <is>
          <t>sre_nis</t>
        </is>
      </c>
      <c r="C76" s="13" t="n">
        <v>1050</v>
      </c>
      <c r="D76" s="13" t="inlineStr">
        <is>
          <t>supplement</t>
        </is>
      </c>
    </row>
    <row r="77">
      <c r="A77" s="13" t="inlineStr">
        <is>
          <t>1Q25</t>
        </is>
      </c>
      <c r="B77" s="13" t="inlineStr">
        <is>
          <t>sre_nis_pct</t>
        </is>
      </c>
      <c r="C77" s="13" t="n">
        <v>1.65</v>
      </c>
      <c r="D77" s="13" t="inlineStr">
        <is>
          <t>supplement</t>
        </is>
      </c>
    </row>
    <row r="78">
      <c r="A78" s="13" t="inlineStr">
        <is>
          <t>1Q25</t>
        </is>
      </c>
      <c r="B78" s="13" t="inlineStr">
        <is>
          <t>sre_opex</t>
        </is>
      </c>
      <c r="C78" s="13" t="n">
        <v>-116</v>
      </c>
      <c r="D78" s="13" t="inlineStr">
        <is>
          <t>supplement</t>
        </is>
      </c>
    </row>
    <row r="79">
      <c r="A79" s="13" t="inlineStr">
        <is>
          <t>1Q25</t>
        </is>
      </c>
      <c r="B79" s="13" t="inlineStr">
        <is>
          <t>sre_opex_pct</t>
        </is>
      </c>
      <c r="C79" s="13" t="n">
        <v>-0.18</v>
      </c>
      <c r="D79" s="13" t="inlineStr">
        <is>
          <t>supplement</t>
        </is>
      </c>
    </row>
    <row r="80">
      <c r="A80" s="13" t="inlineStr">
        <is>
          <t>1Q25</t>
        </is>
      </c>
      <c r="B80" s="13" t="inlineStr">
        <is>
          <t>sre_pct</t>
        </is>
      </c>
      <c r="C80" s="13" t="n">
        <v>1.26</v>
      </c>
      <c r="D80" s="13" t="inlineStr">
        <is>
          <t>supplement</t>
        </is>
      </c>
    </row>
    <row r="81">
      <c r="A81" s="13" t="inlineStr">
        <is>
          <t>1Q25</t>
        </is>
      </c>
      <c r="B81" s="13" t="inlineStr">
        <is>
          <t>total_gross_inflows</t>
        </is>
      </c>
      <c r="C81" s="13" t="n">
        <v>25563</v>
      </c>
      <c r="D81" s="13" t="inlineStr">
        <is>
          <t>supplement</t>
        </is>
      </c>
    </row>
    <row r="82">
      <c r="A82" s="13" t="inlineStr">
        <is>
          <t>1Q25</t>
        </is>
      </c>
      <c r="B82" s="13" t="inlineStr">
        <is>
          <t>total_gross_inflows_check</t>
        </is>
      </c>
      <c r="C82" s="13" t="n">
        <v>25563</v>
      </c>
      <c r="D82" s="13" t="inlineStr">
        <is>
          <t>supplement</t>
        </is>
      </c>
    </row>
    <row r="83">
      <c r="A83" s="13" t="inlineStr">
        <is>
          <t>1Q25</t>
        </is>
      </c>
      <c r="B83" s="13" t="inlineStr">
        <is>
          <t>total_gross_outflows_check</t>
        </is>
      </c>
      <c r="C83" s="13" t="n">
        <v>-8392</v>
      </c>
      <c r="D83" s="13" t="inlineStr">
        <is>
          <t>supplement</t>
        </is>
      </c>
    </row>
    <row r="84">
      <c r="A84" s="13" t="inlineStr">
        <is>
          <t>1Q26</t>
        </is>
      </c>
      <c r="B84" s="13" t="inlineStr">
        <is>
          <t>acra_begin</t>
        </is>
      </c>
      <c r="C84" s="13" t="n">
        <v>89725</v>
      </c>
      <c r="D84" s="13" t="inlineStr">
        <is>
          <t>supplement</t>
        </is>
      </c>
    </row>
    <row r="85">
      <c r="A85" s="13" t="inlineStr">
        <is>
          <t>1Q26</t>
        </is>
      </c>
      <c r="B85" s="13" t="inlineStr">
        <is>
          <t>acra_end</t>
        </is>
      </c>
      <c r="C85" s="13" t="n">
        <v>91318</v>
      </c>
      <c r="D85" s="13" t="inlineStr">
        <is>
          <t>supplement</t>
        </is>
      </c>
    </row>
    <row r="86">
      <c r="A86" s="13" t="inlineStr">
        <is>
          <t>1Q26</t>
        </is>
      </c>
      <c r="B86" s="13" t="inlineStr">
        <is>
          <t>acra_inflows</t>
        </is>
      </c>
      <c r="C86" s="13" t="n">
        <v>3470</v>
      </c>
      <c r="D86" s="13" t="inlineStr">
        <is>
          <t>supplement</t>
        </is>
      </c>
    </row>
    <row r="87">
      <c r="A87" s="13" t="inlineStr">
        <is>
          <t>1Q26</t>
        </is>
      </c>
      <c r="B87" s="13" t="inlineStr">
        <is>
          <t>acra_other</t>
        </is>
      </c>
      <c r="C87" s="13" t="n">
        <v>279</v>
      </c>
      <c r="D87" s="13" t="inlineStr">
        <is>
          <t>supplement</t>
        </is>
      </c>
    </row>
    <row r="88">
      <c r="A88" s="13" t="inlineStr">
        <is>
          <t>1Q26</t>
        </is>
      </c>
      <c r="B88" s="13" t="inlineStr">
        <is>
          <t>acra_own</t>
        </is>
      </c>
      <c r="C88" s="13" t="n">
        <v>0</v>
      </c>
      <c r="D88" s="13" t="inlineStr">
        <is>
          <t>supplement</t>
        </is>
      </c>
    </row>
    <row r="89">
      <c r="A89" s="13" t="inlineStr">
        <is>
          <t>1Q26</t>
        </is>
      </c>
      <c r="B89" s="13" t="inlineStr">
        <is>
          <t>acra_withdrawals</t>
        </is>
      </c>
      <c r="C89" s="13" t="n">
        <v>-2156</v>
      </c>
      <c r="D89" s="13" t="inlineStr">
        <is>
          <t>supplement</t>
        </is>
      </c>
    </row>
    <row r="90">
      <c r="A90" s="13" t="inlineStr">
        <is>
          <t>1Q26</t>
        </is>
      </c>
      <c r="B90" s="13" t="inlineStr">
        <is>
          <t>avg_nia</t>
        </is>
      </c>
      <c r="C90" s="13" t="n">
        <v>296352</v>
      </c>
      <c r="D90" s="13" t="inlineStr">
        <is>
          <t>supplement</t>
        </is>
      </c>
    </row>
    <row r="91">
      <c r="A91" s="13" t="inlineStr">
        <is>
          <t>1Q26</t>
        </is>
      </c>
      <c r="B91" s="13" t="inlineStr">
        <is>
          <t>avg_nia_alt</t>
        </is>
      </c>
      <c r="C91" s="13" t="n">
        <v>14480</v>
      </c>
      <c r="D91" s="13" t="inlineStr">
        <is>
          <t>supplement</t>
        </is>
      </c>
    </row>
    <row r="92">
      <c r="A92" s="13" t="inlineStr">
        <is>
          <t>1Q26</t>
        </is>
      </c>
      <c r="B92" s="13" t="inlineStr">
        <is>
          <t>avg_nia_fi</t>
        </is>
      </c>
      <c r="C92" s="13" t="n">
        <v>281872</v>
      </c>
      <c r="D92" s="13" t="inlineStr">
        <is>
          <t>supplement</t>
        </is>
      </c>
    </row>
    <row r="93">
      <c r="A93" s="13" t="inlineStr">
        <is>
          <t>1Q26</t>
        </is>
      </c>
      <c r="B93" s="13" t="inlineStr">
        <is>
          <t>core_outflows</t>
        </is>
      </c>
      <c r="C93" s="13" t="n">
        <v>-8612</v>
      </c>
      <c r="D93" s="13" t="inlineStr">
        <is>
          <t>supplement</t>
        </is>
      </c>
    </row>
    <row r="94">
      <c r="A94" s="13" t="inlineStr">
        <is>
          <t>1Q26</t>
        </is>
      </c>
      <c r="B94" s="13" t="inlineStr">
        <is>
          <t>cq_naic1</t>
        </is>
      </c>
      <c r="C94" s="13" t="n">
        <v>101271</v>
      </c>
      <c r="D94" s="13" t="inlineStr">
        <is>
          <t>supplement</t>
        </is>
      </c>
    </row>
    <row r="95">
      <c r="A95" s="13" t="inlineStr">
        <is>
          <t>1Q26</t>
        </is>
      </c>
      <c r="B95" s="13" t="inlineStr">
        <is>
          <t>cq_naic2</t>
        </is>
      </c>
      <c r="C95" s="13" t="n">
        <v>80564</v>
      </c>
      <c r="D95" s="13" t="inlineStr">
        <is>
          <t>supplement</t>
        </is>
      </c>
    </row>
    <row r="96">
      <c r="A96" s="13" t="inlineStr">
        <is>
          <t>1Q26</t>
        </is>
      </c>
      <c r="B96" s="13" t="inlineStr">
        <is>
          <t>cq_naic3</t>
        </is>
      </c>
      <c r="C96" s="13" t="n">
        <v>3397</v>
      </c>
      <c r="D96" s="13" t="inlineStr">
        <is>
          <t>supplement</t>
        </is>
      </c>
    </row>
    <row r="97">
      <c r="A97" s="13" t="inlineStr">
        <is>
          <t>1Q26</t>
        </is>
      </c>
      <c r="B97" s="13" t="inlineStr">
        <is>
          <t>cq_naic4</t>
        </is>
      </c>
      <c r="C97" s="13" t="n">
        <v>1364</v>
      </c>
      <c r="D97" s="13" t="inlineStr">
        <is>
          <t>supplement</t>
        </is>
      </c>
    </row>
    <row r="98">
      <c r="A98" s="13" t="inlineStr">
        <is>
          <t>1Q26</t>
        </is>
      </c>
      <c r="B98" s="13" t="inlineStr">
        <is>
          <t>cq_naic5</t>
        </is>
      </c>
      <c r="C98" s="13" t="n">
        <v>506</v>
      </c>
      <c r="D98" s="13" t="inlineStr">
        <is>
          <t>supplement</t>
        </is>
      </c>
    </row>
    <row r="99">
      <c r="A99" s="13" t="inlineStr">
        <is>
          <t>1Q26</t>
        </is>
      </c>
      <c r="B99" s="13" t="inlineStr">
        <is>
          <t>cq_naic6</t>
        </is>
      </c>
      <c r="C99" s="13" t="n">
        <v>762</v>
      </c>
      <c r="D99" s="13" t="inlineStr">
        <is>
          <t>supplement</t>
        </is>
      </c>
    </row>
    <row r="100">
      <c r="A100" s="13" t="inlineStr">
        <is>
          <t>1Q26</t>
        </is>
      </c>
      <c r="B100" s="13" t="inlineStr">
        <is>
          <t>cq_nondesig_big</t>
        </is>
      </c>
      <c r="C100" s="13" t="n">
        <v>117</v>
      </c>
      <c r="D100" s="13" t="inlineStr">
        <is>
          <t>supplement</t>
        </is>
      </c>
    </row>
    <row r="101">
      <c r="A101" s="13" t="inlineStr">
        <is>
          <t>1Q26</t>
        </is>
      </c>
      <c r="B101" s="13" t="inlineStr">
        <is>
          <t>cq_nondesig_ig</t>
        </is>
      </c>
      <c r="C101" s="13" t="n">
        <v>389</v>
      </c>
      <c r="D101" s="13" t="inlineStr">
        <is>
          <t>supplement</t>
        </is>
      </c>
    </row>
    <row r="102">
      <c r="A102" s="13" t="inlineStr">
        <is>
          <t>1Q26</t>
        </is>
      </c>
      <c r="B102" s="13" t="inlineStr">
        <is>
          <t>cq_total_big</t>
        </is>
      </c>
      <c r="C102" s="13" t="n">
        <v>6146</v>
      </c>
      <c r="D102" s="13" t="inlineStr">
        <is>
          <t>supplement</t>
        </is>
      </c>
    </row>
    <row r="103">
      <c r="A103" s="13" t="inlineStr">
        <is>
          <t>1Q26</t>
        </is>
      </c>
      <c r="B103" s="13" t="inlineStr">
        <is>
          <t>cq_total_desig</t>
        </is>
      </c>
      <c r="C103" s="13" t="n">
        <v>188370</v>
      </c>
      <c r="D103" s="13" t="inlineStr">
        <is>
          <t>supplement</t>
        </is>
      </c>
    </row>
    <row r="104">
      <c r="A104" s="13" t="inlineStr">
        <is>
          <t>1Q26</t>
        </is>
      </c>
      <c r="B104" s="13" t="inlineStr">
        <is>
          <t>cq_total_ig</t>
        </is>
      </c>
      <c r="C104" s="13" t="n">
        <v>182224</v>
      </c>
      <c r="D104" s="13" t="inlineStr">
        <is>
          <t>supplement</t>
        </is>
      </c>
    </row>
    <row r="105">
      <c r="A105" s="13" t="inlineStr">
        <is>
          <t>1Q26</t>
        </is>
      </c>
      <c r="B105" s="13" t="inlineStr">
        <is>
          <t>eq_ahl_total</t>
        </is>
      </c>
      <c r="C105" s="13" t="n">
        <v>17848</v>
      </c>
      <c r="D105" s="13" t="inlineStr">
        <is>
          <t>supplement</t>
        </is>
      </c>
    </row>
    <row r="106">
      <c r="A106" s="13" t="inlineStr">
        <is>
          <t>1Q26</t>
        </is>
      </c>
      <c r="B106" s="13" t="inlineStr">
        <is>
          <t>eq_aoci</t>
        </is>
      </c>
      <c r="C106" s="13" t="n">
        <v>-3120</v>
      </c>
      <c r="D106" s="13" t="inlineStr">
        <is>
          <t>supplement</t>
        </is>
      </c>
    </row>
    <row r="107">
      <c r="A107" s="13" t="inlineStr">
        <is>
          <t>1Q26</t>
        </is>
      </c>
      <c r="B107" s="13" t="inlineStr">
        <is>
          <t>eq_apic</t>
        </is>
      </c>
      <c r="C107" s="13" t="n">
        <v>19262</v>
      </c>
      <c r="D107" s="13" t="inlineStr">
        <is>
          <t>supplement</t>
        </is>
      </c>
    </row>
    <row r="108">
      <c r="A108" s="13" t="inlineStr">
        <is>
          <t>1Q26</t>
        </is>
      </c>
      <c r="B108" s="13" t="inlineStr">
        <is>
          <t>eq_nci</t>
        </is>
      </c>
      <c r="C108" s="13" t="n">
        <v>15852</v>
      </c>
      <c r="D108" s="13" t="inlineStr">
        <is>
          <t>supplement</t>
        </is>
      </c>
    </row>
    <row r="109">
      <c r="A109" s="13" t="inlineStr">
        <is>
          <t>1Q26</t>
        </is>
      </c>
      <c r="B109" s="13" t="inlineStr">
        <is>
          <t>eq_re</t>
        </is>
      </c>
      <c r="C109" s="13" t="n">
        <v>1706</v>
      </c>
      <c r="D109" s="13" t="inlineStr">
        <is>
          <t>supplement</t>
        </is>
      </c>
    </row>
    <row r="110">
      <c r="A110" s="13" t="inlineStr">
        <is>
          <t>1Q26</t>
        </is>
      </c>
      <c r="B110" s="13" t="inlineStr">
        <is>
          <t>eq_total</t>
        </is>
      </c>
      <c r="C110" s="13" t="n">
        <v>33700</v>
      </c>
      <c r="D110" s="13" t="inlineStr">
        <is>
          <t>supplement</t>
        </is>
      </c>
    </row>
    <row r="111">
      <c r="A111" s="13" t="inlineStr">
        <is>
          <t>1Q26</t>
        </is>
      </c>
      <c r="B111" s="13" t="inlineStr">
        <is>
          <t>eq_total_le</t>
        </is>
      </c>
      <c r="C111" s="13" t="n">
        <v>447804</v>
      </c>
      <c r="D111" s="13" t="inlineStr">
        <is>
          <t>supplement</t>
        </is>
      </c>
    </row>
    <row r="112">
      <c r="A112" s="13" t="inlineStr">
        <is>
          <t>1Q26</t>
        </is>
      </c>
      <c r="B112" s="13" t="inlineStr">
        <is>
          <t>flow_reins</t>
        </is>
      </c>
      <c r="C112" s="13" t="n">
        <v>2603</v>
      </c>
      <c r="D112" s="13" t="inlineStr">
        <is>
          <t>supplement</t>
        </is>
      </c>
    </row>
    <row r="113">
      <c r="A113" s="13" t="inlineStr">
        <is>
          <t>1Q26</t>
        </is>
      </c>
      <c r="B113" s="13" t="inlineStr">
        <is>
          <t>funding_agreements</t>
        </is>
      </c>
      <c r="C113" s="13" t="n">
        <v>8531</v>
      </c>
      <c r="D113" s="13" t="inlineStr">
        <is>
          <t>supplement</t>
        </is>
      </c>
    </row>
    <row r="114">
      <c r="A114" s="13" t="inlineStr">
        <is>
          <t>1Q26</t>
        </is>
      </c>
      <c r="B114" s="13" t="inlineStr">
        <is>
          <t>gaap_dac</t>
        </is>
      </c>
      <c r="C114" s="13" t="n">
        <v>337</v>
      </c>
      <c r="D114" s="13" t="inlineStr">
        <is>
          <t>supplement</t>
        </is>
      </c>
    </row>
    <row r="115">
      <c r="A115" s="13" t="inlineStr">
        <is>
          <t>1Q26</t>
        </is>
      </c>
      <c r="B115" s="13" t="inlineStr">
        <is>
          <t>gaap_fpb</t>
        </is>
      </c>
      <c r="C115" s="13" t="n">
        <v>639</v>
      </c>
      <c r="D115" s="13" t="inlineStr">
        <is>
          <t>supplement</t>
        </is>
      </c>
    </row>
    <row r="116">
      <c r="A116" s="13" t="inlineStr">
        <is>
          <t>1Q26</t>
        </is>
      </c>
      <c r="B116" s="13" t="inlineStr">
        <is>
          <t>gaap_inv_gl</t>
        </is>
      </c>
      <c r="C116" s="13" t="n">
        <v>-2078</v>
      </c>
      <c r="D116" s="13" t="inlineStr">
        <is>
          <t>supplement</t>
        </is>
      </c>
    </row>
    <row r="117">
      <c r="A117" s="13" t="inlineStr">
        <is>
          <t>1Q26</t>
        </is>
      </c>
      <c r="B117" s="13" t="inlineStr">
        <is>
          <t>gaap_iscb</t>
        </is>
      </c>
      <c r="C117" s="13" t="n">
        <v>1591</v>
      </c>
      <c r="D117" s="13" t="inlineStr">
        <is>
          <t>supplement</t>
        </is>
      </c>
    </row>
    <row r="118">
      <c r="A118" s="13" t="inlineStr">
        <is>
          <t>1Q26</t>
        </is>
      </c>
      <c r="B118" s="13" t="inlineStr">
        <is>
          <t>gaap_mrb</t>
        </is>
      </c>
      <c r="C118" s="13" t="n">
        <v>259</v>
      </c>
      <c r="D118" s="13" t="inlineStr">
        <is>
          <t>supplement</t>
        </is>
      </c>
    </row>
    <row r="119">
      <c r="A119" s="13" t="inlineStr">
        <is>
          <t>1Q26</t>
        </is>
      </c>
      <c r="B119" s="13" t="inlineStr">
        <is>
          <t>gaap_ni</t>
        </is>
      </c>
      <c r="C119" s="13" t="n">
        <v>-1482</v>
      </c>
      <c r="D119" s="13" t="inlineStr">
        <is>
          <t>supplement</t>
        </is>
      </c>
    </row>
    <row r="120">
      <c r="A120" s="13" t="inlineStr">
        <is>
          <t>1Q26</t>
        </is>
      </c>
      <c r="B120" s="13" t="inlineStr">
        <is>
          <t>gaap_ni_ahl</t>
        </is>
      </c>
      <c r="C120" s="13" t="n">
        <v>-1938</v>
      </c>
      <c r="D120" s="13" t="inlineStr">
        <is>
          <t>supplement</t>
        </is>
      </c>
    </row>
    <row r="121">
      <c r="A121" s="13" t="inlineStr">
        <is>
          <t>1Q26</t>
        </is>
      </c>
      <c r="B121" s="13" t="inlineStr">
        <is>
          <t>gaap_ni_common</t>
        </is>
      </c>
      <c r="C121" s="13" t="n">
        <v>-1973</v>
      </c>
      <c r="D121" s="13" t="inlineStr">
        <is>
          <t>supplement</t>
        </is>
      </c>
    </row>
    <row r="122">
      <c r="A122" s="13" t="inlineStr">
        <is>
          <t>1Q26</t>
        </is>
      </c>
      <c r="B122" s="13" t="inlineStr">
        <is>
          <t>gaap_ni_nci</t>
        </is>
      </c>
      <c r="C122" s="13" t="n">
        <v>456</v>
      </c>
      <c r="D122" s="13" t="inlineStr">
        <is>
          <t>supplement</t>
        </is>
      </c>
    </row>
    <row r="123">
      <c r="A123" s="13" t="inlineStr">
        <is>
          <t>1Q26</t>
        </is>
      </c>
      <c r="B123" s="13" t="inlineStr">
        <is>
          <t>gaap_nii</t>
        </is>
      </c>
      <c r="C123" s="13" t="n">
        <v>4769</v>
      </c>
      <c r="D123" s="13" t="inlineStr">
        <is>
          <t>supplement</t>
        </is>
      </c>
    </row>
    <row r="124">
      <c r="A124" s="13" t="inlineStr">
        <is>
          <t>1Q26</t>
        </is>
      </c>
      <c r="B124" s="13" t="inlineStr">
        <is>
          <t>gaap_opex</t>
        </is>
      </c>
      <c r="C124" s="13" t="n">
        <v>651</v>
      </c>
      <c r="D124" s="13" t="inlineStr">
        <is>
          <t>supplement</t>
        </is>
      </c>
    </row>
    <row r="125">
      <c r="A125" s="13" t="inlineStr">
        <is>
          <t>1Q26</t>
        </is>
      </c>
      <c r="B125" s="13" t="inlineStr">
        <is>
          <t>gaap_other_rev</t>
        </is>
      </c>
      <c r="C125" s="13" t="n">
        <v>4</v>
      </c>
      <c r="D125" s="13" t="inlineStr">
        <is>
          <t>supplement</t>
        </is>
      </c>
    </row>
    <row r="126">
      <c r="A126" s="13" t="inlineStr">
        <is>
          <t>1Q26</t>
        </is>
      </c>
      <c r="B126" s="13" t="inlineStr">
        <is>
          <t>gaap_pref</t>
        </is>
      </c>
      <c r="C126" s="13" t="n">
        <v>35</v>
      </c>
      <c r="D126" s="13" t="inlineStr">
        <is>
          <t>supplement</t>
        </is>
      </c>
    </row>
    <row r="127">
      <c r="A127" s="13" t="inlineStr">
        <is>
          <t>1Q26</t>
        </is>
      </c>
      <c r="B127" s="13" t="inlineStr">
        <is>
          <t>gaap_pref_red</t>
        </is>
      </c>
      <c r="C127" s="13" t="n">
        <v>0</v>
      </c>
      <c r="D127" s="13" t="inlineStr">
        <is>
          <t>supplement</t>
        </is>
      </c>
    </row>
    <row r="128">
      <c r="A128" s="13" t="inlineStr">
        <is>
          <t>1Q26</t>
        </is>
      </c>
      <c r="B128" s="13" t="inlineStr">
        <is>
          <t>gaap_premiums</t>
        </is>
      </c>
      <c r="C128" s="13" t="n">
        <v>217</v>
      </c>
      <c r="D128" s="13" t="inlineStr">
        <is>
          <t>supplement</t>
        </is>
      </c>
    </row>
    <row r="129">
      <c r="A129" s="13" t="inlineStr">
        <is>
          <t>1Q26</t>
        </is>
      </c>
      <c r="B129" s="13" t="inlineStr">
        <is>
          <t>gaap_pretax</t>
        </is>
      </c>
      <c r="C129" s="13" t="n">
        <v>191</v>
      </c>
      <c r="D129" s="13" t="inlineStr">
        <is>
          <t>supplement</t>
        </is>
      </c>
    </row>
    <row r="130">
      <c r="A130" s="13" t="inlineStr">
        <is>
          <t>1Q26</t>
        </is>
      </c>
      <c r="B130" s="13" t="inlineStr">
        <is>
          <t>gaap_product_charges</t>
        </is>
      </c>
      <c r="C130" s="13" t="n">
        <v>281</v>
      </c>
      <c r="D130" s="13" t="inlineStr">
        <is>
          <t>supplement</t>
        </is>
      </c>
    </row>
    <row r="131">
      <c r="A131" s="13" t="inlineStr">
        <is>
          <t>1Q26</t>
        </is>
      </c>
      <c r="B131" s="13" t="inlineStr">
        <is>
          <t>gaap_tax</t>
        </is>
      </c>
      <c r="C131" s="13" t="n">
        <v>1673</v>
      </c>
      <c r="D131" s="13" t="inlineStr">
        <is>
          <t>supplement</t>
        </is>
      </c>
    </row>
    <row r="132">
      <c r="A132" s="13" t="inlineStr">
        <is>
          <t>1Q26</t>
        </is>
      </c>
      <c r="B132" s="13" t="inlineStr">
        <is>
          <t>gaap_total_be</t>
        </is>
      </c>
      <c r="C132" s="13" t="n">
        <v>3477</v>
      </c>
      <c r="D132" s="13" t="inlineStr">
        <is>
          <t>supplement</t>
        </is>
      </c>
    </row>
    <row r="133">
      <c r="A133" s="13" t="inlineStr">
        <is>
          <t>1Q26</t>
        </is>
      </c>
      <c r="B133" s="13" t="inlineStr">
        <is>
          <t>gaap_total_rev</t>
        </is>
      </c>
      <c r="C133" s="13" t="n">
        <v>3668</v>
      </c>
      <c r="D133" s="13" t="inlineStr">
        <is>
          <t>supplement</t>
        </is>
      </c>
    </row>
    <row r="134">
      <c r="A134" s="13" t="inlineStr">
        <is>
          <t>1Q26</t>
        </is>
      </c>
      <c r="B134" s="13" t="inlineStr">
        <is>
          <t>gaap_vie_gl</t>
        </is>
      </c>
      <c r="C134" s="13" t="n">
        <v>407</v>
      </c>
      <c r="D134" s="13" t="inlineStr">
        <is>
          <t>supplement</t>
        </is>
      </c>
    </row>
    <row r="135">
      <c r="A135" s="13" t="inlineStr">
        <is>
          <t>1Q26</t>
        </is>
      </c>
      <c r="B135" s="13" t="inlineStr">
        <is>
          <t>gaap_vie_nii</t>
        </is>
      </c>
      <c r="C135" s="13" t="n">
        <v>68</v>
      </c>
      <c r="D135" s="13" t="inlineStr">
        <is>
          <t>supplement</t>
        </is>
      </c>
    </row>
    <row r="136">
      <c r="A136" s="13" t="inlineStr">
        <is>
          <t>1Q26</t>
        </is>
      </c>
      <c r="B136" s="13" t="inlineStr">
        <is>
          <t>gross_inorganic</t>
        </is>
      </c>
      <c r="C136" s="13" t="n">
        <v>0</v>
      </c>
      <c r="D136" s="13" t="inlineStr">
        <is>
          <t>supplement</t>
        </is>
      </c>
    </row>
    <row r="137">
      <c r="A137" s="13" t="inlineStr">
        <is>
          <t>1Q26</t>
        </is>
      </c>
      <c r="B137" s="13" t="inlineStr">
        <is>
          <t>gross_organic</t>
        </is>
      </c>
      <c r="C137" s="13" t="n">
        <v>19747</v>
      </c>
      <c r="D137" s="13" t="inlineStr">
        <is>
          <t>supplement</t>
        </is>
      </c>
    </row>
    <row r="138">
      <c r="A138" s="13" t="inlineStr">
        <is>
          <t>1Q26</t>
        </is>
      </c>
      <c r="B138" s="13" t="inlineStr">
        <is>
          <t>gross_outflows</t>
        </is>
      </c>
      <c r="C138" s="13" t="n">
        <v>-10768</v>
      </c>
      <c r="D138" s="13" t="inlineStr">
        <is>
          <t>supplement</t>
        </is>
      </c>
    </row>
    <row r="139">
      <c r="A139" s="13" t="inlineStr">
        <is>
          <t>1Q26</t>
        </is>
      </c>
      <c r="B139" s="13" t="inlineStr">
        <is>
          <t>inflows_adip</t>
        </is>
      </c>
      <c r="C139" s="13" t="n">
        <v>3453</v>
      </c>
      <c r="D139" s="13" t="inlineStr">
        <is>
          <t>supplement</t>
        </is>
      </c>
    </row>
    <row r="140">
      <c r="A140" s="13" t="inlineStr">
        <is>
          <t>1Q26</t>
        </is>
      </c>
      <c r="B140" s="13" t="inlineStr">
        <is>
          <t>inflows_athene</t>
        </is>
      </c>
      <c r="C140" s="13" t="n">
        <v>15957</v>
      </c>
      <c r="D140" s="13" t="inlineStr">
        <is>
          <t>supplement</t>
        </is>
      </c>
    </row>
    <row r="141">
      <c r="A141" s="13" t="inlineStr">
        <is>
          <t>1Q26</t>
        </is>
      </c>
      <c r="B141" s="13" t="inlineStr">
        <is>
          <t>inflows_ceded_3p</t>
        </is>
      </c>
      <c r="C141" s="13" t="n">
        <v>337</v>
      </c>
      <c r="D141" s="13" t="inlineStr">
        <is>
          <t>supplement</t>
        </is>
      </c>
    </row>
    <row r="142">
      <c r="A142" s="13" t="inlineStr">
        <is>
          <t>1Q26</t>
        </is>
      </c>
      <c r="B142" s="13" t="inlineStr">
        <is>
          <t>net_flows</t>
        </is>
      </c>
      <c r="C142" s="13" t="n">
        <v>8979</v>
      </c>
      <c r="D142" s="13" t="inlineStr">
        <is>
          <t>supplement</t>
        </is>
      </c>
    </row>
    <row r="143">
      <c r="A143" s="13" t="inlineStr">
        <is>
          <t>1Q26</t>
        </is>
      </c>
      <c r="B143" s="13" t="inlineStr">
        <is>
          <t>nia_abs</t>
        </is>
      </c>
      <c r="C143" s="13" t="n">
        <v>41802</v>
      </c>
      <c r="D143" s="13" t="inlineStr">
        <is>
          <t>supplement</t>
        </is>
      </c>
    </row>
    <row r="144">
      <c r="A144" s="13" t="inlineStr">
        <is>
          <t>1Q26</t>
        </is>
      </c>
      <c r="B144" s="13" t="inlineStr">
        <is>
          <t>nia_alts</t>
        </is>
      </c>
      <c r="C144" s="13" t="n">
        <v>15092</v>
      </c>
      <c r="D144" s="13" t="inlineStr">
        <is>
          <t>supplement</t>
        </is>
      </c>
    </row>
    <row r="145">
      <c r="A145" s="13" t="inlineStr">
        <is>
          <t>1Q26</t>
        </is>
      </c>
      <c r="B145" s="13" t="inlineStr">
        <is>
          <t>nia_cash</t>
        </is>
      </c>
      <c r="C145" s="13" t="n">
        <v>12969</v>
      </c>
      <c r="D145" s="13" t="inlineStr">
        <is>
          <t>supplement</t>
        </is>
      </c>
    </row>
    <row r="146">
      <c r="A146" s="13" t="inlineStr">
        <is>
          <t>1Q26</t>
        </is>
      </c>
      <c r="B146" s="13" t="inlineStr">
        <is>
          <t>nia_clo</t>
        </is>
      </c>
      <c r="C146" s="13" t="n">
        <v>23611</v>
      </c>
      <c r="D146" s="13" t="inlineStr">
        <is>
          <t>supplement</t>
        </is>
      </c>
    </row>
    <row r="147">
      <c r="A147" s="13" t="inlineStr">
        <is>
          <t>1Q26</t>
        </is>
      </c>
      <c r="B147" s="13" t="inlineStr">
        <is>
          <t>nia_cmbs</t>
        </is>
      </c>
      <c r="C147" s="13" t="n">
        <v>9662</v>
      </c>
      <c r="D147" s="13" t="inlineStr">
        <is>
          <t>supplement</t>
        </is>
      </c>
    </row>
    <row r="148">
      <c r="A148" s="13" t="inlineStr">
        <is>
          <t>1Q26</t>
        </is>
      </c>
      <c r="B148" s="13" t="inlineStr">
        <is>
          <t>nia_cml</t>
        </is>
      </c>
      <c r="C148" s="13" t="n">
        <v>32578</v>
      </c>
      <c r="D148" s="13" t="inlineStr">
        <is>
          <t>supplement</t>
        </is>
      </c>
    </row>
    <row r="149">
      <c r="A149" s="13" t="inlineStr">
        <is>
          <t>1Q26</t>
        </is>
      </c>
      <c r="B149" s="13" t="inlineStr">
        <is>
          <t>nia_corporate</t>
        </is>
      </c>
      <c r="C149" s="13" t="n">
        <v>86764</v>
      </c>
      <c r="D149" s="13" t="inlineStr">
        <is>
          <t>supplement</t>
        </is>
      </c>
    </row>
    <row r="150">
      <c r="A150" s="13" t="inlineStr">
        <is>
          <t>1Q26</t>
        </is>
      </c>
      <c r="B150" s="13" t="inlineStr">
        <is>
          <t>nia_credit_sub</t>
        </is>
      </c>
      <c r="C150" s="13" t="n">
        <v>110375</v>
      </c>
      <c r="D150" s="13" t="inlineStr">
        <is>
          <t>supplement</t>
        </is>
      </c>
    </row>
    <row r="151">
      <c r="A151" s="13" t="inlineStr">
        <is>
          <t>1Q26</t>
        </is>
      </c>
      <c r="B151" s="13" t="inlineStr">
        <is>
          <t>nia_equity_sec</t>
        </is>
      </c>
      <c r="C151" s="13" t="n">
        <v>1975</v>
      </c>
      <c r="D151" s="13" t="inlineStr">
        <is>
          <t>supplement</t>
        </is>
      </c>
    </row>
    <row r="152">
      <c r="A152" s="13" t="inlineStr">
        <is>
          <t>1Q26</t>
        </is>
      </c>
      <c r="B152" s="13" t="inlineStr">
        <is>
          <t>nia_munis_foreign</t>
        </is>
      </c>
      <c r="C152" s="13" t="n">
        <v>3168</v>
      </c>
      <c r="D152" s="13" t="inlineStr">
        <is>
          <t>supplement</t>
        </is>
      </c>
    </row>
    <row r="153">
      <c r="A153" s="13" t="inlineStr">
        <is>
          <t>1Q26</t>
        </is>
      </c>
      <c r="B153" s="13" t="inlineStr">
        <is>
          <t>nia_other</t>
        </is>
      </c>
      <c r="C153" s="13" t="n">
        <v>5618</v>
      </c>
      <c r="D153" s="13" t="inlineStr">
        <is>
          <t>supplement</t>
        </is>
      </c>
    </row>
    <row r="154">
      <c r="A154" s="13" t="inlineStr">
        <is>
          <t>1Q26</t>
        </is>
      </c>
      <c r="B154" s="13" t="inlineStr">
        <is>
          <t>nia_other_inv_sub</t>
        </is>
      </c>
      <c r="C154" s="13" t="n">
        <v>78168</v>
      </c>
      <c r="D154" s="13" t="inlineStr">
        <is>
          <t>supplement</t>
        </is>
      </c>
    </row>
    <row r="155">
      <c r="A155" s="13" t="inlineStr">
        <is>
          <t>1Q26</t>
        </is>
      </c>
      <c r="B155" s="13" t="inlineStr">
        <is>
          <t>nia_real_estate_sub</t>
        </is>
      </c>
      <c r="C155" s="13" t="n">
        <v>93160</v>
      </c>
      <c r="D155" s="13" t="inlineStr">
        <is>
          <t>supplement</t>
        </is>
      </c>
    </row>
    <row r="156">
      <c r="A156" s="13" t="inlineStr">
        <is>
          <t>1Q26</t>
        </is>
      </c>
      <c r="B156" s="13" t="inlineStr">
        <is>
          <t>nia_rmbs</t>
        </is>
      </c>
      <c r="C156" s="13" t="n">
        <v>7232</v>
      </c>
      <c r="D156" s="13" t="inlineStr">
        <is>
          <t>supplement</t>
        </is>
      </c>
    </row>
    <row r="157">
      <c r="A157" s="13" t="inlineStr">
        <is>
          <t>1Q26</t>
        </is>
      </c>
      <c r="B157" s="13" t="inlineStr">
        <is>
          <t>nia_rml</t>
        </is>
      </c>
      <c r="C157" s="13" t="n">
        <v>43688</v>
      </c>
      <c r="D157" s="13" t="inlineStr">
        <is>
          <t>supplement</t>
        </is>
      </c>
    </row>
    <row r="158">
      <c r="A158" s="13" t="inlineStr">
        <is>
          <t>1Q26</t>
        </is>
      </c>
      <c r="B158" s="13" t="inlineStr">
        <is>
          <t>nia_short_term</t>
        </is>
      </c>
      <c r="C158" s="13" t="n">
        <v>146</v>
      </c>
      <c r="D158" s="13" t="inlineStr">
        <is>
          <t>supplement</t>
        </is>
      </c>
    </row>
    <row r="159">
      <c r="A159" s="13" t="inlineStr">
        <is>
          <t>1Q26</t>
        </is>
      </c>
      <c r="B159" s="13" t="inlineStr">
        <is>
          <t>nia_total</t>
        </is>
      </c>
      <c r="C159" s="13" t="n">
        <v>300290</v>
      </c>
      <c r="D159" s="13" t="inlineStr">
        <is>
          <t>supplement</t>
        </is>
      </c>
    </row>
    <row r="160">
      <c r="A160" s="13" t="inlineStr">
        <is>
          <t>1Q26</t>
        </is>
      </c>
      <c r="B160" s="13" t="inlineStr">
        <is>
          <t>nia_us_gov</t>
        </is>
      </c>
      <c r="C160" s="13" t="n">
        <v>15985</v>
      </c>
      <c r="D160" s="13" t="inlineStr">
        <is>
          <t>supplement</t>
        </is>
      </c>
    </row>
    <row r="161">
      <c r="A161" s="13" t="inlineStr">
        <is>
          <t>1Q26</t>
        </is>
      </c>
      <c r="B161" s="13" t="inlineStr">
        <is>
          <t>nrl_begin</t>
        </is>
      </c>
      <c r="C161" s="13" t="n">
        <v>271233</v>
      </c>
      <c r="D161" s="13" t="inlineStr">
        <is>
          <t>supplement</t>
        </is>
      </c>
    </row>
    <row r="162">
      <c r="A162" s="13" t="inlineStr">
        <is>
          <t>1Q26</t>
        </is>
      </c>
      <c r="B162" s="13" t="inlineStr">
        <is>
          <t>nrl_deferred_total</t>
        </is>
      </c>
      <c r="C162" s="13" t="n">
        <v>168701</v>
      </c>
      <c r="D162" s="13" t="inlineStr">
        <is>
          <t>supplement</t>
        </is>
      </c>
    </row>
    <row r="163">
      <c r="A163" s="13" t="inlineStr">
        <is>
          <t>1Q26</t>
        </is>
      </c>
      <c r="B163" s="13" t="inlineStr">
        <is>
          <t>nrl_end</t>
        </is>
      </c>
      <c r="C163" s="13" t="n">
        <v>279189</v>
      </c>
      <c r="D163" s="13" t="inlineStr">
        <is>
          <t>supplement</t>
        </is>
      </c>
    </row>
    <row r="164">
      <c r="A164" s="13" t="inlineStr">
        <is>
          <t>1Q26</t>
        </is>
      </c>
      <c r="B164" s="13" t="inlineStr">
        <is>
          <t>nrl_fa</t>
        </is>
      </c>
      <c r="C164" s="13" t="n">
        <v>75962</v>
      </c>
      <c r="D164" s="13" t="inlineStr">
        <is>
          <t>supplement</t>
        </is>
      </c>
    </row>
    <row r="165">
      <c r="A165" s="13" t="inlineStr">
        <is>
          <t>1Q26</t>
        </is>
      </c>
      <c r="B165" s="13" t="inlineStr">
        <is>
          <t>nrl_fixed</t>
        </is>
      </c>
      <c r="C165" s="13" t="n">
        <v>82324</v>
      </c>
      <c r="D165" s="13" t="inlineStr">
        <is>
          <t>supplement</t>
        </is>
      </c>
    </row>
    <row r="166">
      <c r="A166" s="13" t="inlineStr">
        <is>
          <t>1Q26</t>
        </is>
      </c>
      <c r="B166" s="13" t="inlineStr">
        <is>
          <t>nrl_indexed</t>
        </is>
      </c>
      <c r="C166" s="13" t="n">
        <v>86377</v>
      </c>
      <c r="D166" s="13" t="inlineStr">
        <is>
          <t>supplement</t>
        </is>
      </c>
    </row>
    <row r="167">
      <c r="A167" s="13" t="inlineStr">
        <is>
          <t>1Q26</t>
        </is>
      </c>
      <c r="B167" s="13" t="inlineStr">
        <is>
          <t>nrl_life_other</t>
        </is>
      </c>
      <c r="C167" s="13" t="n">
        <v>5038</v>
      </c>
      <c r="D167" s="13" t="inlineStr">
        <is>
          <t>supplement</t>
        </is>
      </c>
    </row>
    <row r="168">
      <c r="A168" s="13" t="inlineStr">
        <is>
          <t>1Q26</t>
        </is>
      </c>
      <c r="B168" s="13" t="inlineStr">
        <is>
          <t>nrl_payout</t>
        </is>
      </c>
      <c r="C168" s="13" t="n">
        <v>5239</v>
      </c>
      <c r="D168" s="13" t="inlineStr">
        <is>
          <t>supplement</t>
        </is>
      </c>
    </row>
    <row r="169">
      <c r="A169" s="13" t="inlineStr">
        <is>
          <t>1Q26</t>
        </is>
      </c>
      <c r="B169" s="13" t="inlineStr">
        <is>
          <t>nrl_pga</t>
        </is>
      </c>
      <c r="C169" s="13" t="n">
        <v>24249</v>
      </c>
      <c r="D169" s="13" t="inlineStr">
        <is>
          <t>supplement</t>
        </is>
      </c>
    </row>
    <row r="170">
      <c r="A170" s="13" t="inlineStr">
        <is>
          <t>1Q26</t>
        </is>
      </c>
      <c r="B170" s="13" t="inlineStr">
        <is>
          <t>nrl_total</t>
        </is>
      </c>
      <c r="C170" s="13" t="n">
        <v>279189</v>
      </c>
      <c r="D170" s="13" t="inlineStr">
        <is>
          <t>supplement</t>
        </is>
      </c>
    </row>
    <row r="171">
      <c r="A171" s="13" t="inlineStr">
        <is>
          <t>1Q26</t>
        </is>
      </c>
      <c r="B171" s="13" t="inlineStr">
        <is>
          <t>other_spread</t>
        </is>
      </c>
      <c r="C171" s="13" t="n">
        <v>1343</v>
      </c>
      <c r="D171" s="13" t="inlineStr">
        <is>
          <t>supplement</t>
        </is>
      </c>
    </row>
    <row r="172">
      <c r="A172" s="13" t="inlineStr">
        <is>
          <t>1Q26</t>
        </is>
      </c>
      <c r="B172" s="13" t="inlineStr">
        <is>
          <t>outflow_income_planned</t>
        </is>
      </c>
      <c r="C172" s="13" t="n">
        <v>-1845</v>
      </c>
      <c r="D172" s="13" t="inlineStr">
        <is>
          <t>supplement</t>
        </is>
      </c>
    </row>
    <row r="173">
      <c r="A173" s="13" t="inlineStr">
        <is>
          <t>1Q26</t>
        </is>
      </c>
      <c r="B173" s="13" t="inlineStr">
        <is>
          <t>outflow_isc_unplanned</t>
        </is>
      </c>
      <c r="C173" s="13" t="n">
        <v>-718</v>
      </c>
      <c r="D173" s="13" t="inlineStr">
        <is>
          <t>supplement</t>
        </is>
      </c>
    </row>
    <row r="174">
      <c r="A174" s="13" t="inlineStr">
        <is>
          <t>1Q26</t>
        </is>
      </c>
      <c r="B174" s="13" t="inlineStr">
        <is>
          <t>outflow_maturity_driven</t>
        </is>
      </c>
      <c r="C174" s="13" t="n">
        <v>-4960</v>
      </c>
      <c r="D174" s="13" t="inlineStr">
        <is>
          <t>supplement</t>
        </is>
      </c>
    </row>
    <row r="175">
      <c r="A175" s="13" t="inlineStr">
        <is>
          <t>1Q26</t>
        </is>
      </c>
      <c r="B175" s="13" t="inlineStr">
        <is>
          <t>outflow_oosc_planned</t>
        </is>
      </c>
      <c r="C175" s="13" t="n">
        <v>-1089</v>
      </c>
      <c r="D175" s="13" t="inlineStr">
        <is>
          <t>supplement</t>
        </is>
      </c>
    </row>
    <row r="176">
      <c r="A176" s="13" t="inlineStr">
        <is>
          <t>1Q26</t>
        </is>
      </c>
      <c r="B176" s="13" t="inlineStr">
        <is>
          <t>outflow_policyholder</t>
        </is>
      </c>
      <c r="C176" s="13" t="n">
        <v>-3652</v>
      </c>
      <c r="D176" s="13" t="inlineStr">
        <is>
          <t>supplement</t>
        </is>
      </c>
    </row>
    <row r="177">
      <c r="A177" s="13" t="inlineStr">
        <is>
          <t>1Q26</t>
        </is>
      </c>
      <c r="B177" s="13" t="inlineStr">
        <is>
          <t>outflows_adip</t>
        </is>
      </c>
      <c r="C177" s="13" t="n">
        <v>-2156</v>
      </c>
      <c r="D177" s="13" t="inlineStr">
        <is>
          <t>supplement</t>
        </is>
      </c>
    </row>
    <row r="178">
      <c r="A178" s="13" t="inlineStr">
        <is>
          <t>1Q26</t>
        </is>
      </c>
      <c r="B178" s="13" t="inlineStr">
        <is>
          <t>outflows_athene</t>
        </is>
      </c>
      <c r="C178" s="13" t="n">
        <v>-8612</v>
      </c>
      <c r="D178" s="13" t="inlineStr">
        <is>
          <t>supplement</t>
        </is>
      </c>
    </row>
    <row r="179">
      <c r="A179" s="13" t="inlineStr">
        <is>
          <t>1Q26</t>
        </is>
      </c>
      <c r="B179" s="13" t="inlineStr">
        <is>
          <t>pga</t>
        </is>
      </c>
      <c r="C179" s="13" t="n">
        <v>0</v>
      </c>
      <c r="D179" s="13" t="inlineStr">
        <is>
          <t>supplement</t>
        </is>
      </c>
    </row>
    <row r="180">
      <c r="A180" s="13" t="inlineStr">
        <is>
          <t>1Q26</t>
        </is>
      </c>
      <c r="B180" s="13" t="inlineStr">
        <is>
          <t>retail</t>
        </is>
      </c>
      <c r="C180" s="13" t="n">
        <v>7270</v>
      </c>
      <c r="D180" s="13" t="inlineStr">
        <is>
          <t>supplement</t>
        </is>
      </c>
    </row>
    <row r="181">
      <c r="A181" s="13" t="inlineStr">
        <is>
          <t>1Q26</t>
        </is>
      </c>
      <c r="B181" s="13" t="inlineStr">
        <is>
          <t>roll_acra_nci</t>
        </is>
      </c>
      <c r="C181" s="13" t="n">
        <v>-3470</v>
      </c>
      <c r="D181" s="13" t="inlineStr">
        <is>
          <t>supplement</t>
        </is>
      </c>
    </row>
    <row r="182">
      <c r="A182" s="13" t="inlineStr">
        <is>
          <t>1Q26</t>
        </is>
      </c>
      <c r="B182" s="13" t="inlineStr">
        <is>
          <t>roll_acra_own</t>
        </is>
      </c>
      <c r="C182" s="13" t="n">
        <v>0</v>
      </c>
      <c r="D182" s="13" t="inlineStr">
        <is>
          <t>supplement</t>
        </is>
      </c>
    </row>
    <row r="183">
      <c r="A183" s="13" t="inlineStr">
        <is>
          <t>1Q26</t>
        </is>
      </c>
      <c r="B183" s="13" t="inlineStr">
        <is>
          <t>roll_block</t>
        </is>
      </c>
      <c r="C183" s="13" t="n">
        <v>0</v>
      </c>
      <c r="D183" s="13" t="inlineStr">
        <is>
          <t>supplement</t>
        </is>
      </c>
    </row>
    <row r="184">
      <c r="A184" s="13" t="inlineStr">
        <is>
          <t>1Q26</t>
        </is>
      </c>
      <c r="B184" s="13" t="inlineStr">
        <is>
          <t>roll_ceded_3p</t>
        </is>
      </c>
      <c r="C184" s="13" t="n">
        <v>-337</v>
      </c>
      <c r="D184" s="13" t="inlineStr">
        <is>
          <t>supplement</t>
        </is>
      </c>
    </row>
    <row r="185">
      <c r="A185" s="13" t="inlineStr">
        <is>
          <t>1Q26</t>
        </is>
      </c>
      <c r="B185" s="13" t="inlineStr">
        <is>
          <t>roll_gross_inflows</t>
        </is>
      </c>
      <c r="C185" s="13" t="n">
        <v>19869</v>
      </c>
      <c r="D185" s="13" t="inlineStr">
        <is>
          <t>supplement</t>
        </is>
      </c>
    </row>
    <row r="186">
      <c r="A186" s="13" t="inlineStr">
        <is>
          <t>1Q26</t>
        </is>
      </c>
      <c r="B186" s="13" t="inlineStr">
        <is>
          <t>roll_net_inflows</t>
        </is>
      </c>
      <c r="C186" s="13" t="n">
        <v>16062</v>
      </c>
      <c r="D186" s="13" t="inlineStr">
        <is>
          <t>supplement</t>
        </is>
      </c>
    </row>
    <row r="187">
      <c r="A187" s="13" t="inlineStr">
        <is>
          <t>1Q26</t>
        </is>
      </c>
      <c r="B187" s="13" t="inlineStr">
        <is>
          <t>roll_net_withdrawals</t>
        </is>
      </c>
      <c r="C187" s="13" t="n">
        <v>-8612</v>
      </c>
      <c r="D187" s="13" t="inlineStr">
        <is>
          <t>supplement</t>
        </is>
      </c>
    </row>
    <row r="188">
      <c r="A188" s="13" t="inlineStr">
        <is>
          <t>1Q26</t>
        </is>
      </c>
      <c r="B188" s="13" t="inlineStr">
        <is>
          <t>roll_other</t>
        </is>
      </c>
      <c r="C188" s="13" t="n">
        <v>506</v>
      </c>
      <c r="D188" s="13" t="inlineStr">
        <is>
          <t>supplement</t>
        </is>
      </c>
    </row>
    <row r="189">
      <c r="A189" s="13" t="inlineStr">
        <is>
          <t>1Q26</t>
        </is>
      </c>
      <c r="B189" s="13" t="inlineStr">
        <is>
          <t>sre</t>
        </is>
      </c>
      <c r="C189" s="13" t="n">
        <v>719</v>
      </c>
      <c r="D189" s="13" t="inlineStr">
        <is>
          <t>supplement</t>
        </is>
      </c>
    </row>
    <row r="190">
      <c r="A190" s="13" t="inlineStr">
        <is>
          <t>1Q26</t>
        </is>
      </c>
      <c r="B190" s="13" t="inlineStr">
        <is>
          <t>sre_alt_nii</t>
        </is>
      </c>
      <c r="C190" s="13" t="n">
        <v>210</v>
      </c>
      <c r="D190" s="13" t="inlineStr">
        <is>
          <t>supplement</t>
        </is>
      </c>
    </row>
    <row r="191">
      <c r="A191" s="13" t="inlineStr">
        <is>
          <t>1Q26</t>
        </is>
      </c>
      <c r="B191" s="13" t="inlineStr">
        <is>
          <t>sre_alt_nii_pct</t>
        </is>
      </c>
      <c r="C191" s="13" t="n">
        <v>5.79</v>
      </c>
      <c r="D191" s="13" t="inlineStr">
        <is>
          <t>supplement</t>
        </is>
      </c>
    </row>
    <row r="192">
      <c r="A192" s="13" t="inlineStr">
        <is>
          <t>1Q26</t>
        </is>
      </c>
      <c r="B192" s="13" t="inlineStr">
        <is>
          <t>sre_cof</t>
        </is>
      </c>
      <c r="C192" s="13" t="n">
        <v>-2807</v>
      </c>
      <c r="D192" s="13" t="inlineStr">
        <is>
          <t>supplement</t>
        </is>
      </c>
    </row>
    <row r="193">
      <c r="A193" s="13" t="inlineStr">
        <is>
          <t>1Q26</t>
        </is>
      </c>
      <c r="B193" s="13" t="inlineStr">
        <is>
          <t>sre_cof_pct</t>
        </is>
      </c>
      <c r="C193" s="13" t="n">
        <v>-3.79</v>
      </c>
      <c r="D193" s="13" t="inlineStr">
        <is>
          <t>supplement</t>
        </is>
      </c>
    </row>
    <row r="194">
      <c r="A194" s="13" t="inlineStr">
        <is>
          <t>1Q26</t>
        </is>
      </c>
      <c r="B194" s="13" t="inlineStr">
        <is>
          <t>sre_fees</t>
        </is>
      </c>
      <c r="C194" s="13" t="n">
        <v>36</v>
      </c>
      <c r="D194" s="13" t="inlineStr">
        <is>
          <t>supplement</t>
        </is>
      </c>
    </row>
    <row r="195">
      <c r="A195" s="13" t="inlineStr">
        <is>
          <t>1Q26</t>
        </is>
      </c>
      <c r="B195" s="13" t="inlineStr">
        <is>
          <t>sre_fees_pct</t>
        </is>
      </c>
      <c r="C195" s="13" t="n">
        <v>0.05</v>
      </c>
      <c r="D195" s="13" t="inlineStr">
        <is>
          <t>supplement</t>
        </is>
      </c>
    </row>
    <row r="196">
      <c r="A196" s="13" t="inlineStr">
        <is>
          <t>1Q26</t>
        </is>
      </c>
      <c r="B196" s="13" t="inlineStr">
        <is>
          <t>sre_fi_nii</t>
        </is>
      </c>
      <c r="C196" s="13" t="n">
        <v>3551</v>
      </c>
      <c r="D196" s="13" t="inlineStr">
        <is>
          <t>supplement</t>
        </is>
      </c>
    </row>
    <row r="197">
      <c r="A197" s="13" t="inlineStr">
        <is>
          <t>1Q26</t>
        </is>
      </c>
      <c r="B197" s="13" t="inlineStr">
        <is>
          <t>sre_fi_nii_pct</t>
        </is>
      </c>
      <c r="C197" s="13" t="n">
        <v>5.04</v>
      </c>
      <c r="D197" s="13" t="inlineStr">
        <is>
          <t>supplement</t>
        </is>
      </c>
    </row>
    <row r="198">
      <c r="A198" s="13" t="inlineStr">
        <is>
          <t>1Q26</t>
        </is>
      </c>
      <c r="B198" s="13" t="inlineStr">
        <is>
          <t>sre_fin</t>
        </is>
      </c>
      <c r="C198" s="13" t="n">
        <v>-153</v>
      </c>
      <c r="D198" s="13" t="inlineStr">
        <is>
          <t>supplement</t>
        </is>
      </c>
    </row>
    <row r="199">
      <c r="A199" s="13" t="inlineStr">
        <is>
          <t>1Q26</t>
        </is>
      </c>
      <c r="B199" s="13" t="inlineStr">
        <is>
          <t>sre_fin_pct</t>
        </is>
      </c>
      <c r="C199" s="13" t="n">
        <v>-0.21</v>
      </c>
      <c r="D199" s="13" t="inlineStr">
        <is>
          <t>supplement</t>
        </is>
      </c>
    </row>
    <row r="200">
      <c r="A200" s="13" t="inlineStr">
        <is>
          <t>1Q26</t>
        </is>
      </c>
      <c r="B200" s="13" t="inlineStr">
        <is>
          <t>sre_nie</t>
        </is>
      </c>
      <c r="C200" s="13" t="n">
        <v>3761</v>
      </c>
      <c r="D200" s="13" t="inlineStr">
        <is>
          <t>supplement</t>
        </is>
      </c>
    </row>
    <row r="201">
      <c r="A201" s="13" t="inlineStr">
        <is>
          <t>1Q26</t>
        </is>
      </c>
      <c r="B201" s="13" t="inlineStr">
        <is>
          <t>sre_nie_pct</t>
        </is>
      </c>
      <c r="C201" s="13" t="n">
        <v>5.08</v>
      </c>
      <c r="D201" s="13" t="inlineStr">
        <is>
          <t>supplement</t>
        </is>
      </c>
    </row>
    <row r="202">
      <c r="A202" s="13" t="inlineStr">
        <is>
          <t>1Q26</t>
        </is>
      </c>
      <c r="B202" s="13" t="inlineStr">
        <is>
          <t>sre_nis</t>
        </is>
      </c>
      <c r="C202" s="13" t="n">
        <v>990</v>
      </c>
      <c r="D202" s="13" t="inlineStr">
        <is>
          <t>supplement</t>
        </is>
      </c>
    </row>
    <row r="203">
      <c r="A203" s="13" t="inlineStr">
        <is>
          <t>1Q26</t>
        </is>
      </c>
      <c r="B203" s="13" t="inlineStr">
        <is>
          <t>sre_nis_pct</t>
        </is>
      </c>
      <c r="C203" s="13" t="n">
        <v>1.34</v>
      </c>
      <c r="D203" s="13" t="inlineStr">
        <is>
          <t>supplement</t>
        </is>
      </c>
    </row>
    <row r="204">
      <c r="A204" s="13" t="inlineStr">
        <is>
          <t>1Q26</t>
        </is>
      </c>
      <c r="B204" s="13" t="inlineStr">
        <is>
          <t>sre_opex</t>
        </is>
      </c>
      <c r="C204" s="13" t="n">
        <v>-118</v>
      </c>
      <c r="D204" s="13" t="inlineStr">
        <is>
          <t>supplement</t>
        </is>
      </c>
    </row>
    <row r="205">
      <c r="A205" s="13" t="inlineStr">
        <is>
          <t>1Q26</t>
        </is>
      </c>
      <c r="B205" s="13" t="inlineStr">
        <is>
          <t>sre_opex_pct</t>
        </is>
      </c>
      <c r="C205" s="13" t="n">
        <v>-0.16</v>
      </c>
      <c r="D205" s="13" t="inlineStr">
        <is>
          <t>supplement</t>
        </is>
      </c>
    </row>
    <row r="206">
      <c r="A206" s="13" t="inlineStr">
        <is>
          <t>1Q26</t>
        </is>
      </c>
      <c r="B206" s="13" t="inlineStr">
        <is>
          <t>sre_pct</t>
        </is>
      </c>
      <c r="C206" s="13" t="n">
        <v>0.97</v>
      </c>
      <c r="D206" s="13" t="inlineStr">
        <is>
          <t>supplement</t>
        </is>
      </c>
    </row>
    <row r="207">
      <c r="A207" s="13" t="inlineStr">
        <is>
          <t>1Q26</t>
        </is>
      </c>
      <c r="B207" s="13" t="inlineStr">
        <is>
          <t>total_gross_inflows</t>
        </is>
      </c>
      <c r="C207" s="13" t="n">
        <v>19747</v>
      </c>
      <c r="D207" s="13" t="inlineStr">
        <is>
          <t>supplement</t>
        </is>
      </c>
    </row>
    <row r="208">
      <c r="A208" s="13" t="inlineStr">
        <is>
          <t>1Q26</t>
        </is>
      </c>
      <c r="B208" s="13" t="inlineStr">
        <is>
          <t>total_gross_inflows_check</t>
        </is>
      </c>
      <c r="C208" s="13" t="n">
        <v>19747</v>
      </c>
      <c r="D208" s="13" t="inlineStr">
        <is>
          <t>supplement</t>
        </is>
      </c>
    </row>
    <row r="209">
      <c r="A209" s="13" t="inlineStr">
        <is>
          <t>1Q26</t>
        </is>
      </c>
      <c r="B209" s="13" t="inlineStr">
        <is>
          <t>total_gross_outflows_check</t>
        </is>
      </c>
      <c r="C209" s="13" t="n">
        <v>-10768</v>
      </c>
      <c r="D209" s="13" t="inlineStr">
        <is>
          <t>supplement</t>
        </is>
      </c>
    </row>
    <row r="210">
      <c r="A210" s="13" t="inlineStr">
        <is>
          <t>2Q25</t>
        </is>
      </c>
      <c r="B210" s="13" t="inlineStr">
        <is>
          <t>acra_begin</t>
        </is>
      </c>
      <c r="C210" s="13" t="n">
        <v>76842</v>
      </c>
      <c r="D210" s="13" t="inlineStr">
        <is>
          <t>supplement</t>
        </is>
      </c>
    </row>
    <row r="211">
      <c r="A211" s="13" t="inlineStr">
        <is>
          <t>2Q25</t>
        </is>
      </c>
      <c r="B211" s="13" t="inlineStr">
        <is>
          <t>acra_end</t>
        </is>
      </c>
      <c r="C211" s="13" t="n">
        <v>81809</v>
      </c>
      <c r="D211" s="13" t="inlineStr">
        <is>
          <t>supplement</t>
        </is>
      </c>
    </row>
    <row r="212">
      <c r="A212" s="13" t="inlineStr">
        <is>
          <t>2Q25</t>
        </is>
      </c>
      <c r="B212" s="13" t="inlineStr">
        <is>
          <t>acra_inflows</t>
        </is>
      </c>
      <c r="C212" s="13" t="n">
        <v>5091</v>
      </c>
      <c r="D212" s="13" t="inlineStr">
        <is>
          <t>supplement</t>
        </is>
      </c>
    </row>
    <row r="213">
      <c r="A213" s="13" t="inlineStr">
        <is>
          <t>2Q25</t>
        </is>
      </c>
      <c r="B213" s="13" t="inlineStr">
        <is>
          <t>acra_other</t>
        </is>
      </c>
      <c r="C213" s="13" t="n">
        <v>1293</v>
      </c>
      <c r="D213" s="13" t="inlineStr">
        <is>
          <t>supplement</t>
        </is>
      </c>
    </row>
    <row r="214">
      <c r="A214" s="13" t="inlineStr">
        <is>
          <t>2Q25</t>
        </is>
      </c>
      <c r="B214" s="13" t="inlineStr">
        <is>
          <t>acra_own</t>
        </is>
      </c>
      <c r="C214" s="13" t="n">
        <v>0</v>
      </c>
      <c r="D214" s="13" t="inlineStr">
        <is>
          <t>supplement</t>
        </is>
      </c>
    </row>
    <row r="215">
      <c r="A215" s="13" t="inlineStr">
        <is>
          <t>2Q25</t>
        </is>
      </c>
      <c r="B215" s="13" t="inlineStr">
        <is>
          <t>acra_withdrawals</t>
        </is>
      </c>
      <c r="C215" s="13" t="n">
        <v>-1417</v>
      </c>
      <c r="D215" s="13" t="inlineStr">
        <is>
          <t>supplement</t>
        </is>
      </c>
    </row>
    <row r="216">
      <c r="A216" s="13" t="inlineStr">
        <is>
          <t>2Q25</t>
        </is>
      </c>
      <c r="B216" s="13" t="inlineStr">
        <is>
          <t>avg_nia</t>
        </is>
      </c>
      <c r="C216" s="13" t="n">
        <v>268703</v>
      </c>
      <c r="D216" s="13" t="inlineStr">
        <is>
          <t>supplement</t>
        </is>
      </c>
    </row>
    <row r="217">
      <c r="A217" s="13" t="inlineStr">
        <is>
          <t>2Q25</t>
        </is>
      </c>
      <c r="B217" s="13" t="inlineStr">
        <is>
          <t>avg_nia_alt</t>
        </is>
      </c>
      <c r="C217" s="13" t="n">
        <v>12914</v>
      </c>
      <c r="D217" s="13" t="inlineStr">
        <is>
          <t>supplement</t>
        </is>
      </c>
    </row>
    <row r="218">
      <c r="A218" s="13" t="inlineStr">
        <is>
          <t>2Q25</t>
        </is>
      </c>
      <c r="B218" s="13" t="inlineStr">
        <is>
          <t>avg_nia_fi</t>
        </is>
      </c>
      <c r="C218" s="13" t="n">
        <v>255789</v>
      </c>
      <c r="D218" s="13" t="inlineStr">
        <is>
          <t>supplement</t>
        </is>
      </c>
    </row>
    <row r="219">
      <c r="A219" s="13" t="inlineStr">
        <is>
          <t>2Q25</t>
        </is>
      </c>
      <c r="B219" s="13" t="inlineStr">
        <is>
          <t>core_outflows</t>
        </is>
      </c>
      <c r="C219" s="13" t="n">
        <v>-5813</v>
      </c>
      <c r="D219" s="13" t="inlineStr">
        <is>
          <t>supplement</t>
        </is>
      </c>
    </row>
    <row r="220">
      <c r="A220" s="13" t="inlineStr">
        <is>
          <t>2Q25</t>
        </is>
      </c>
      <c r="B220" s="13" t="inlineStr">
        <is>
          <t>flow_reins</t>
        </is>
      </c>
      <c r="C220" s="13" t="n">
        <v>2031</v>
      </c>
      <c r="D220" s="13" t="inlineStr">
        <is>
          <t>supplement</t>
        </is>
      </c>
    </row>
    <row r="221">
      <c r="A221" s="13" t="inlineStr">
        <is>
          <t>2Q25</t>
        </is>
      </c>
      <c r="B221" s="13" t="inlineStr">
        <is>
          <t>funding_agreements</t>
        </is>
      </c>
      <c r="C221" s="13" t="n">
        <v>11707</v>
      </c>
      <c r="D221" s="13" t="inlineStr">
        <is>
          <t>supplement</t>
        </is>
      </c>
    </row>
    <row r="222">
      <c r="A222" s="13" t="inlineStr">
        <is>
          <t>2Q25</t>
        </is>
      </c>
      <c r="B222" s="13" t="inlineStr">
        <is>
          <t>gaap_dac</t>
        </is>
      </c>
      <c r="C222" s="13" t="n">
        <v>292</v>
      </c>
      <c r="D222" s="13" t="inlineStr">
        <is>
          <t>supplement</t>
        </is>
      </c>
    </row>
    <row r="223">
      <c r="A223" s="13" t="inlineStr">
        <is>
          <t>2Q25</t>
        </is>
      </c>
      <c r="B223" s="13" t="inlineStr">
        <is>
          <t>gaap_fpb</t>
        </is>
      </c>
      <c r="C223" s="13" t="n">
        <v>527</v>
      </c>
      <c r="D223" s="13" t="inlineStr">
        <is>
          <t>supplement</t>
        </is>
      </c>
    </row>
    <row r="224">
      <c r="A224" s="13" t="inlineStr">
        <is>
          <t>2Q25</t>
        </is>
      </c>
      <c r="B224" s="13" t="inlineStr">
        <is>
          <t>gaap_inv_gl</t>
        </is>
      </c>
      <c r="C224" s="13" t="n">
        <v>-5</v>
      </c>
      <c r="D224" s="13" t="inlineStr">
        <is>
          <t>supplement</t>
        </is>
      </c>
    </row>
    <row r="225">
      <c r="A225" s="13" t="inlineStr">
        <is>
          <t>2Q25</t>
        </is>
      </c>
      <c r="B225" s="13" t="inlineStr">
        <is>
          <t>gaap_iscb</t>
        </is>
      </c>
      <c r="C225" s="13" t="n">
        <v>3428</v>
      </c>
      <c r="D225" s="13" t="inlineStr">
        <is>
          <t>supplement</t>
        </is>
      </c>
    </row>
    <row r="226">
      <c r="A226" s="13" t="inlineStr">
        <is>
          <t>2Q25</t>
        </is>
      </c>
      <c r="B226" s="13" t="inlineStr">
        <is>
          <t>gaap_mrb</t>
        </is>
      </c>
      <c r="C226" s="13" t="n">
        <v>-111</v>
      </c>
      <c r="D226" s="13" t="inlineStr">
        <is>
          <t>supplement</t>
        </is>
      </c>
    </row>
    <row r="227">
      <c r="A227" s="13" t="inlineStr">
        <is>
          <t>2Q25</t>
        </is>
      </c>
      <c r="B227" s="13" t="inlineStr">
        <is>
          <t>gaap_ni</t>
        </is>
      </c>
      <c r="C227" s="13" t="n">
        <v>686</v>
      </c>
      <c r="D227" s="13" t="inlineStr">
        <is>
          <t>supplement</t>
        </is>
      </c>
    </row>
    <row r="228">
      <c r="A228" s="13" t="inlineStr">
        <is>
          <t>2Q25</t>
        </is>
      </c>
      <c r="B228" s="13" t="inlineStr">
        <is>
          <t>gaap_ni_ahl</t>
        </is>
      </c>
      <c r="C228" s="13" t="n">
        <v>464</v>
      </c>
      <c r="D228" s="13" t="inlineStr">
        <is>
          <t>supplement</t>
        </is>
      </c>
    </row>
    <row r="229">
      <c r="A229" s="13" t="inlineStr">
        <is>
          <t>2Q25</t>
        </is>
      </c>
      <c r="B229" s="13" t="inlineStr">
        <is>
          <t>gaap_ni_common</t>
        </is>
      </c>
      <c r="C229" s="13" t="n">
        <v>503</v>
      </c>
      <c r="D229" s="13" t="inlineStr">
        <is>
          <t>supplement</t>
        </is>
      </c>
    </row>
    <row r="230">
      <c r="A230" s="13" t="inlineStr">
        <is>
          <t>2Q25</t>
        </is>
      </c>
      <c r="B230" s="13" t="inlineStr">
        <is>
          <t>gaap_ni_nci</t>
        </is>
      </c>
      <c r="C230" s="13" t="n">
        <v>222</v>
      </c>
      <c r="D230" s="13" t="inlineStr">
        <is>
          <t>supplement</t>
        </is>
      </c>
    </row>
    <row r="231">
      <c r="A231" s="13" t="inlineStr">
        <is>
          <t>2Q25</t>
        </is>
      </c>
      <c r="B231" s="13" t="inlineStr">
        <is>
          <t>gaap_nii</t>
        </is>
      </c>
      <c r="C231" s="13" t="n">
        <v>4429</v>
      </c>
      <c r="D231" s="13" t="inlineStr">
        <is>
          <t>supplement</t>
        </is>
      </c>
    </row>
    <row r="232">
      <c r="A232" s="13" t="inlineStr">
        <is>
          <t>2Q25</t>
        </is>
      </c>
      <c r="B232" s="13" t="inlineStr">
        <is>
          <t>gaap_opex</t>
        </is>
      </c>
      <c r="C232" s="13" t="n">
        <v>571</v>
      </c>
      <c r="D232" s="13" t="inlineStr">
        <is>
          <t>supplement</t>
        </is>
      </c>
    </row>
    <row r="233">
      <c r="A233" s="13" t="inlineStr">
        <is>
          <t>2Q25</t>
        </is>
      </c>
      <c r="B233" s="13" t="inlineStr">
        <is>
          <t>gaap_other_rev</t>
        </is>
      </c>
      <c r="C233" s="13" t="n">
        <v>6</v>
      </c>
      <c r="D233" s="13" t="inlineStr">
        <is>
          <t>supplement</t>
        </is>
      </c>
    </row>
    <row r="234">
      <c r="A234" s="13" t="inlineStr">
        <is>
          <t>2Q25</t>
        </is>
      </c>
      <c r="B234" s="13" t="inlineStr">
        <is>
          <t>gaap_pref</t>
        </is>
      </c>
      <c r="C234" s="13" t="n">
        <v>45</v>
      </c>
      <c r="D234" s="13" t="inlineStr">
        <is>
          <t>supplement</t>
        </is>
      </c>
    </row>
    <row r="235">
      <c r="A235" s="13" t="inlineStr">
        <is>
          <t>2Q25</t>
        </is>
      </c>
      <c r="B235" s="13" t="inlineStr">
        <is>
          <t>gaap_pref_red</t>
        </is>
      </c>
      <c r="C235" s="13" t="n">
        <v>84</v>
      </c>
      <c r="D235" s="13" t="inlineStr">
        <is>
          <t>supplement</t>
        </is>
      </c>
    </row>
    <row r="236">
      <c r="A236" s="13" t="inlineStr">
        <is>
          <t>2Q25</t>
        </is>
      </c>
      <c r="B236" s="13" t="inlineStr">
        <is>
          <t>gaap_premiums</t>
        </is>
      </c>
      <c r="C236" s="13" t="n">
        <v>107</v>
      </c>
      <c r="D236" s="13" t="inlineStr">
        <is>
          <t>supplement</t>
        </is>
      </c>
    </row>
    <row r="237">
      <c r="A237" s="13" t="inlineStr">
        <is>
          <t>2Q25</t>
        </is>
      </c>
      <c r="B237" s="13" t="inlineStr">
        <is>
          <t>gaap_pretax</t>
        </is>
      </c>
      <c r="C237" s="13" t="n">
        <v>652</v>
      </c>
      <c r="D237" s="13" t="inlineStr">
        <is>
          <t>supplement</t>
        </is>
      </c>
    </row>
    <row r="238">
      <c r="A238" s="13" t="inlineStr">
        <is>
          <t>2Q25</t>
        </is>
      </c>
      <c r="B238" s="13" t="inlineStr">
        <is>
          <t>gaap_product_charges</t>
        </is>
      </c>
      <c r="C238" s="13" t="n">
        <v>274</v>
      </c>
      <c r="D238" s="13" t="inlineStr">
        <is>
          <t>supplement</t>
        </is>
      </c>
    </row>
    <row r="239">
      <c r="A239" s="13" t="inlineStr">
        <is>
          <t>2Q25</t>
        </is>
      </c>
      <c r="B239" s="13" t="inlineStr">
        <is>
          <t>gaap_tax</t>
        </is>
      </c>
      <c r="C239" s="13" t="n">
        <v>-34</v>
      </c>
      <c r="D239" s="13" t="inlineStr">
        <is>
          <t>supplement</t>
        </is>
      </c>
    </row>
    <row r="240">
      <c r="A240" s="13" t="inlineStr">
        <is>
          <t>2Q25</t>
        </is>
      </c>
      <c r="B240" s="13" t="inlineStr">
        <is>
          <t>gaap_total_be</t>
        </is>
      </c>
      <c r="C240" s="13" t="n">
        <v>4707</v>
      </c>
      <c r="D240" s="13" t="inlineStr">
        <is>
          <t>supplement</t>
        </is>
      </c>
    </row>
    <row r="241">
      <c r="A241" s="13" t="inlineStr">
        <is>
          <t>2Q25</t>
        </is>
      </c>
      <c r="B241" s="13" t="inlineStr">
        <is>
          <t>gaap_total_rev</t>
        </is>
      </c>
      <c r="C241" s="13" t="n">
        <v>5359</v>
      </c>
      <c r="D241" s="13" t="inlineStr">
        <is>
          <t>supplement</t>
        </is>
      </c>
    </row>
    <row r="242">
      <c r="A242" s="13" t="inlineStr">
        <is>
          <t>2Q25</t>
        </is>
      </c>
      <c r="B242" s="13" t="inlineStr">
        <is>
          <t>gaap_vie_gl</t>
        </is>
      </c>
      <c r="C242" s="13" t="n">
        <v>468</v>
      </c>
      <c r="D242" s="13" t="inlineStr">
        <is>
          <t>supplement</t>
        </is>
      </c>
    </row>
    <row r="243">
      <c r="A243" s="13" t="inlineStr">
        <is>
          <t>2Q25</t>
        </is>
      </c>
      <c r="B243" s="13" t="inlineStr">
        <is>
          <t>gaap_vie_nii</t>
        </is>
      </c>
      <c r="C243" s="13" t="n">
        <v>80</v>
      </c>
      <c r="D243" s="13" t="inlineStr">
        <is>
          <t>supplement</t>
        </is>
      </c>
    </row>
    <row r="244">
      <c r="A244" s="13" t="inlineStr">
        <is>
          <t>2Q25</t>
        </is>
      </c>
      <c r="B244" s="13" t="inlineStr">
        <is>
          <t>gross_inorganic</t>
        </is>
      </c>
      <c r="C244" s="13" t="n">
        <v>0</v>
      </c>
      <c r="D244" s="13" t="inlineStr">
        <is>
          <t>supplement</t>
        </is>
      </c>
    </row>
    <row r="245">
      <c r="A245" s="13" t="inlineStr">
        <is>
          <t>2Q25</t>
        </is>
      </c>
      <c r="B245" s="13" t="inlineStr">
        <is>
          <t>gross_organic</t>
        </is>
      </c>
      <c r="C245" s="13" t="n">
        <v>21232</v>
      </c>
      <c r="D245" s="13" t="inlineStr">
        <is>
          <t>supplement</t>
        </is>
      </c>
    </row>
    <row r="246">
      <c r="A246" s="13" t="inlineStr">
        <is>
          <t>2Q25</t>
        </is>
      </c>
      <c r="B246" s="13" t="inlineStr">
        <is>
          <t>gross_outflows</t>
        </is>
      </c>
      <c r="C246" s="13" t="n">
        <v>-7230</v>
      </c>
      <c r="D246" s="13" t="inlineStr">
        <is>
          <t>supplement</t>
        </is>
      </c>
    </row>
    <row r="247">
      <c r="A247" s="13" t="inlineStr">
        <is>
          <t>2Q25</t>
        </is>
      </c>
      <c r="B247" s="13" t="inlineStr">
        <is>
          <t>inflows_adip</t>
        </is>
      </c>
      <c r="C247" s="13" t="n">
        <v>5019</v>
      </c>
      <c r="D247" s="13" t="inlineStr">
        <is>
          <t>supplement</t>
        </is>
      </c>
    </row>
    <row r="248">
      <c r="A248" s="13" t="inlineStr">
        <is>
          <t>2Q25</t>
        </is>
      </c>
      <c r="B248" s="13" t="inlineStr">
        <is>
          <t>inflows_athene</t>
        </is>
      </c>
      <c r="C248" s="13" t="n">
        <v>15838</v>
      </c>
      <c r="D248" s="13" t="inlineStr">
        <is>
          <t>supplement</t>
        </is>
      </c>
    </row>
    <row r="249">
      <c r="A249" s="13" t="inlineStr">
        <is>
          <t>2Q25</t>
        </is>
      </c>
      <c r="B249" s="13" t="inlineStr">
        <is>
          <t>inflows_ceded_3p</t>
        </is>
      </c>
      <c r="C249" s="13" t="n">
        <v>375</v>
      </c>
      <c r="D249" s="13" t="inlineStr">
        <is>
          <t>supplement</t>
        </is>
      </c>
    </row>
    <row r="250">
      <c r="A250" s="13" t="inlineStr">
        <is>
          <t>2Q25</t>
        </is>
      </c>
      <c r="B250" s="13" t="inlineStr">
        <is>
          <t>net_flows</t>
        </is>
      </c>
      <c r="C250" s="13" t="n">
        <v>14002</v>
      </c>
      <c r="D250" s="13" t="inlineStr">
        <is>
          <t>supplement</t>
        </is>
      </c>
    </row>
    <row r="251">
      <c r="A251" s="13" t="inlineStr">
        <is>
          <t>2Q25</t>
        </is>
      </c>
      <c r="B251" s="13" t="inlineStr">
        <is>
          <t>nrl_begin</t>
        </is>
      </c>
      <c r="C251" s="13" t="n">
        <v>241666</v>
      </c>
      <c r="D251" s="13" t="inlineStr">
        <is>
          <t>supplement</t>
        </is>
      </c>
    </row>
    <row r="252">
      <c r="A252" s="13" t="inlineStr">
        <is>
          <t>2Q25</t>
        </is>
      </c>
      <c r="B252" s="13" t="inlineStr">
        <is>
          <t>nrl_end</t>
        </is>
      </c>
      <c r="C252" s="13" t="n">
        <v>254572</v>
      </c>
      <c r="D252" s="13" t="inlineStr">
        <is>
          <t>supplement</t>
        </is>
      </c>
    </row>
    <row r="253">
      <c r="A253" s="13" t="inlineStr">
        <is>
          <t>2Q25</t>
        </is>
      </c>
      <c r="B253" s="13" t="inlineStr">
        <is>
          <t>other_spread</t>
        </is>
      </c>
      <c r="C253" s="13" t="n">
        <v>237</v>
      </c>
      <c r="D253" s="13" t="inlineStr">
        <is>
          <t>supplement</t>
        </is>
      </c>
    </row>
    <row r="254">
      <c r="A254" s="13" t="inlineStr">
        <is>
          <t>2Q25</t>
        </is>
      </c>
      <c r="B254" s="13" t="inlineStr">
        <is>
          <t>outflow_income_planned</t>
        </is>
      </c>
      <c r="C254" s="13" t="n">
        <v>-1609</v>
      </c>
      <c r="D254" s="13" t="inlineStr">
        <is>
          <t>supplement</t>
        </is>
      </c>
    </row>
    <row r="255">
      <c r="A255" s="13" t="inlineStr">
        <is>
          <t>2Q25</t>
        </is>
      </c>
      <c r="B255" s="13" t="inlineStr">
        <is>
          <t>outflow_isc_unplanned</t>
        </is>
      </c>
      <c r="C255" s="13" t="n">
        <v>-790</v>
      </c>
      <c r="D255" s="13" t="inlineStr">
        <is>
          <t>supplement</t>
        </is>
      </c>
    </row>
    <row r="256">
      <c r="A256" s="13" t="inlineStr">
        <is>
          <t>2Q25</t>
        </is>
      </c>
      <c r="B256" s="13" t="inlineStr">
        <is>
          <t>outflow_maturity_driven</t>
        </is>
      </c>
      <c r="C256" s="13" t="n">
        <v>-2389</v>
      </c>
      <c r="D256" s="13" t="inlineStr">
        <is>
          <t>supplement</t>
        </is>
      </c>
    </row>
    <row r="257">
      <c r="A257" s="13" t="inlineStr">
        <is>
          <t>2Q25</t>
        </is>
      </c>
      <c r="B257" s="13" t="inlineStr">
        <is>
          <t>outflow_oosc_planned</t>
        </is>
      </c>
      <c r="C257" s="13" t="n">
        <v>-1025</v>
      </c>
      <c r="D257" s="13" t="inlineStr">
        <is>
          <t>supplement</t>
        </is>
      </c>
    </row>
    <row r="258">
      <c r="A258" s="13" t="inlineStr">
        <is>
          <t>2Q25</t>
        </is>
      </c>
      <c r="B258" s="13" t="inlineStr">
        <is>
          <t>outflow_policyholder</t>
        </is>
      </c>
      <c r="C258" s="13" t="n">
        <v>-3424</v>
      </c>
      <c r="D258" s="13" t="inlineStr">
        <is>
          <t>supplement</t>
        </is>
      </c>
    </row>
    <row r="259">
      <c r="A259" s="13" t="inlineStr">
        <is>
          <t>2Q25</t>
        </is>
      </c>
      <c r="B259" s="13" t="inlineStr">
        <is>
          <t>outflows_adip</t>
        </is>
      </c>
      <c r="C259" s="13" t="n">
        <v>-1417</v>
      </c>
      <c r="D259" s="13" t="inlineStr">
        <is>
          <t>supplement</t>
        </is>
      </c>
    </row>
    <row r="260">
      <c r="A260" s="13" t="inlineStr">
        <is>
          <t>2Q25</t>
        </is>
      </c>
      <c r="B260" s="13" t="inlineStr">
        <is>
          <t>outflows_athene</t>
        </is>
      </c>
      <c r="C260" s="13" t="n">
        <v>-5813</v>
      </c>
      <c r="D260" s="13" t="inlineStr">
        <is>
          <t>supplement</t>
        </is>
      </c>
    </row>
    <row r="261">
      <c r="A261" s="13" t="inlineStr">
        <is>
          <t>2Q25</t>
        </is>
      </c>
      <c r="B261" s="13" t="inlineStr">
        <is>
          <t>pga</t>
        </is>
      </c>
      <c r="C261" s="13" t="n">
        <v>1</v>
      </c>
      <c r="D261" s="13" t="inlineStr">
        <is>
          <t>supplement</t>
        </is>
      </c>
    </row>
    <row r="262">
      <c r="A262" s="13" t="inlineStr">
        <is>
          <t>2Q25</t>
        </is>
      </c>
      <c r="B262" s="13" t="inlineStr">
        <is>
          <t>retail</t>
        </is>
      </c>
      <c r="C262" s="13" t="n">
        <v>7256</v>
      </c>
      <c r="D262" s="13" t="inlineStr">
        <is>
          <t>supplement</t>
        </is>
      </c>
    </row>
    <row r="263">
      <c r="A263" s="13" t="inlineStr">
        <is>
          <t>2Q25</t>
        </is>
      </c>
      <c r="B263" s="13" t="inlineStr">
        <is>
          <t>roll_acra_nci</t>
        </is>
      </c>
      <c r="C263" s="13" t="n">
        <v>-5091</v>
      </c>
      <c r="D263" s="13" t="inlineStr">
        <is>
          <t>supplement</t>
        </is>
      </c>
    </row>
    <row r="264">
      <c r="A264" s="13" t="inlineStr">
        <is>
          <t>2Q25</t>
        </is>
      </c>
      <c r="B264" s="13" t="inlineStr">
        <is>
          <t>roll_acra_own</t>
        </is>
      </c>
      <c r="C264" s="13" t="n">
        <v>0</v>
      </c>
      <c r="D264" s="13" t="inlineStr">
        <is>
          <t>supplement</t>
        </is>
      </c>
    </row>
    <row r="265">
      <c r="A265" s="13" t="inlineStr">
        <is>
          <t>2Q25</t>
        </is>
      </c>
      <c r="B265" s="13" t="inlineStr">
        <is>
          <t>roll_block</t>
        </is>
      </c>
      <c r="C265" s="13" t="n">
        <v>0</v>
      </c>
      <c r="D265" s="13" t="inlineStr">
        <is>
          <t>supplement</t>
        </is>
      </c>
    </row>
    <row r="266">
      <c r="A266" s="13" t="inlineStr">
        <is>
          <t>2Q25</t>
        </is>
      </c>
      <c r="B266" s="13" t="inlineStr">
        <is>
          <t>roll_ceded_3p</t>
        </is>
      </c>
      <c r="C266" s="13" t="n">
        <v>-367</v>
      </c>
      <c r="D266" s="13" t="inlineStr">
        <is>
          <t>supplement</t>
        </is>
      </c>
    </row>
    <row r="267">
      <c r="A267" s="13" t="inlineStr">
        <is>
          <t>2Q25</t>
        </is>
      </c>
      <c r="B267" s="13" t="inlineStr">
        <is>
          <t>roll_gross_inflows</t>
        </is>
      </c>
      <c r="C267" s="13" t="n">
        <v>21533</v>
      </c>
      <c r="D267" s="13" t="inlineStr">
        <is>
          <t>supplement</t>
        </is>
      </c>
    </row>
    <row r="268">
      <c r="A268" s="13" t="inlineStr">
        <is>
          <t>2Q25</t>
        </is>
      </c>
      <c r="B268" s="13" t="inlineStr">
        <is>
          <t>roll_net_inflows</t>
        </is>
      </c>
      <c r="C268" s="13" t="n">
        <v>16075</v>
      </c>
      <c r="D268" s="13" t="inlineStr">
        <is>
          <t>supplement</t>
        </is>
      </c>
    </row>
    <row r="269">
      <c r="A269" s="13" t="inlineStr">
        <is>
          <t>2Q25</t>
        </is>
      </c>
      <c r="B269" s="13" t="inlineStr">
        <is>
          <t>roll_net_withdrawals</t>
        </is>
      </c>
      <c r="C269" s="13" t="n">
        <v>-5813</v>
      </c>
      <c r="D269" s="13" t="inlineStr">
        <is>
          <t>supplement</t>
        </is>
      </c>
    </row>
    <row r="270">
      <c r="A270" s="13" t="inlineStr">
        <is>
          <t>2Q25</t>
        </is>
      </c>
      <c r="B270" s="13" t="inlineStr">
        <is>
          <t>roll_other</t>
        </is>
      </c>
      <c r="C270" s="13" t="n">
        <v>2644</v>
      </c>
      <c r="D270" s="13" t="inlineStr">
        <is>
          <t>supplement</t>
        </is>
      </c>
    </row>
    <row r="271">
      <c r="A271" s="13" t="inlineStr">
        <is>
          <t>2Q25</t>
        </is>
      </c>
      <c r="B271" s="13" t="inlineStr">
        <is>
          <t>sre</t>
        </is>
      </c>
      <c r="C271" s="13" t="n">
        <v>820</v>
      </c>
      <c r="D271" s="13" t="inlineStr">
        <is>
          <t>supplement</t>
        </is>
      </c>
    </row>
    <row r="272">
      <c r="A272" s="13" t="inlineStr">
        <is>
          <t>2Q25</t>
        </is>
      </c>
      <c r="B272" s="13" t="inlineStr">
        <is>
          <t>sre_alt_nii</t>
        </is>
      </c>
      <c r="C272" s="13" t="n">
        <v>319</v>
      </c>
      <c r="D272" s="13" t="inlineStr">
        <is>
          <t>supplement</t>
        </is>
      </c>
    </row>
    <row r="273">
      <c r="A273" s="13" t="inlineStr">
        <is>
          <t>2Q25</t>
        </is>
      </c>
      <c r="B273" s="13" t="inlineStr">
        <is>
          <t>sre_alt_nii_pct</t>
        </is>
      </c>
      <c r="C273" s="13" t="n">
        <v>9.859999999999999</v>
      </c>
      <c r="D273" s="13" t="inlineStr">
        <is>
          <t>supplement</t>
        </is>
      </c>
    </row>
    <row r="274">
      <c r="A274" s="13" t="inlineStr">
        <is>
          <t>2Q25</t>
        </is>
      </c>
      <c r="B274" s="13" t="inlineStr">
        <is>
          <t>sre_cof</t>
        </is>
      </c>
      <c r="C274" s="13" t="n">
        <v>-2470</v>
      </c>
      <c r="D274" s="13" t="inlineStr">
        <is>
          <t>supplement</t>
        </is>
      </c>
    </row>
    <row r="275">
      <c r="A275" s="13" t="inlineStr">
        <is>
          <t>2Q25</t>
        </is>
      </c>
      <c r="B275" s="13" t="inlineStr">
        <is>
          <t>sre_cof_pct</t>
        </is>
      </c>
      <c r="C275" s="13" t="n">
        <v>-3.68</v>
      </c>
      <c r="D275" s="13" t="inlineStr">
        <is>
          <t>supplement</t>
        </is>
      </c>
    </row>
    <row r="276">
      <c r="A276" s="13" t="inlineStr">
        <is>
          <t>2Q25</t>
        </is>
      </c>
      <c r="B276" s="13" t="inlineStr">
        <is>
          <t>sre_fees</t>
        </is>
      </c>
      <c r="C276" s="13" t="n">
        <v>32</v>
      </c>
      <c r="D276" s="13" t="inlineStr">
        <is>
          <t>supplement</t>
        </is>
      </c>
    </row>
    <row r="277">
      <c r="A277" s="13" t="inlineStr">
        <is>
          <t>2Q25</t>
        </is>
      </c>
      <c r="B277" s="13" t="inlineStr">
        <is>
          <t>sre_fees_pct</t>
        </is>
      </c>
      <c r="C277" s="13" t="n">
        <v>0.05</v>
      </c>
      <c r="D277" s="13" t="inlineStr">
        <is>
          <t>supplement</t>
        </is>
      </c>
    </row>
    <row r="278">
      <c r="A278" s="13" t="inlineStr">
        <is>
          <t>2Q25</t>
        </is>
      </c>
      <c r="B278" s="13" t="inlineStr">
        <is>
          <t>sre_fi_nii</t>
        </is>
      </c>
      <c r="C278" s="13" t="n">
        <v>3180</v>
      </c>
      <c r="D278" s="13" t="inlineStr">
        <is>
          <t>supplement</t>
        </is>
      </c>
    </row>
    <row r="279">
      <c r="A279" s="13" t="inlineStr">
        <is>
          <t>2Q25</t>
        </is>
      </c>
      <c r="B279" s="13" t="inlineStr">
        <is>
          <t>sre_fi_nii_pct</t>
        </is>
      </c>
      <c r="C279" s="13" t="n">
        <v>4.97</v>
      </c>
      <c r="D279" s="13" t="inlineStr">
        <is>
          <t>supplement</t>
        </is>
      </c>
    </row>
    <row r="280">
      <c r="A280" s="13" t="inlineStr">
        <is>
          <t>2Q25</t>
        </is>
      </c>
      <c r="B280" s="13" t="inlineStr">
        <is>
          <t>sre_fin</t>
        </is>
      </c>
      <c r="C280" s="13" t="n">
        <v>-132</v>
      </c>
      <c r="D280" s="13" t="inlineStr">
        <is>
          <t>supplement</t>
        </is>
      </c>
    </row>
    <row r="281">
      <c r="A281" s="13" t="inlineStr">
        <is>
          <t>2Q25</t>
        </is>
      </c>
      <c r="B281" s="13" t="inlineStr">
        <is>
          <t>sre_fin_pct</t>
        </is>
      </c>
      <c r="C281" s="13" t="n">
        <v>-0.2</v>
      </c>
      <c r="D281" s="13" t="inlineStr">
        <is>
          <t>supplement</t>
        </is>
      </c>
    </row>
    <row r="282">
      <c r="A282" s="13" t="inlineStr">
        <is>
          <t>2Q25</t>
        </is>
      </c>
      <c r="B282" s="13" t="inlineStr">
        <is>
          <t>sre_nie</t>
        </is>
      </c>
      <c r="C282" s="13" t="n">
        <v>3499</v>
      </c>
      <c r="D282" s="13" t="inlineStr">
        <is>
          <t>supplement</t>
        </is>
      </c>
    </row>
    <row r="283">
      <c r="A283" s="13" t="inlineStr">
        <is>
          <t>2Q25</t>
        </is>
      </c>
      <c r="B283" s="13" t="inlineStr">
        <is>
          <t>sre_nie_pct</t>
        </is>
      </c>
      <c r="C283" s="13" t="n">
        <v>5.21</v>
      </c>
      <c r="D283" s="13" t="inlineStr">
        <is>
          <t>supplement</t>
        </is>
      </c>
    </row>
    <row r="284">
      <c r="A284" s="13" t="inlineStr">
        <is>
          <t>2Q25</t>
        </is>
      </c>
      <c r="B284" s="13" t="inlineStr">
        <is>
          <t>sre_nis</t>
        </is>
      </c>
      <c r="C284" s="13" t="n">
        <v>1061</v>
      </c>
      <c r="D284" s="13" t="inlineStr">
        <is>
          <t>supplement</t>
        </is>
      </c>
    </row>
    <row r="285">
      <c r="A285" s="13" t="inlineStr">
        <is>
          <t>2Q25</t>
        </is>
      </c>
      <c r="B285" s="13" t="inlineStr">
        <is>
          <t>sre_nis_pct</t>
        </is>
      </c>
      <c r="C285" s="13" t="n">
        <v>1.58</v>
      </c>
      <c r="D285" s="13" t="inlineStr">
        <is>
          <t>supplement</t>
        </is>
      </c>
    </row>
    <row r="286">
      <c r="A286" s="13" t="inlineStr">
        <is>
          <t>2Q25</t>
        </is>
      </c>
      <c r="B286" s="13" t="inlineStr">
        <is>
          <t>sre_opex</t>
        </is>
      </c>
      <c r="C286" s="13" t="n">
        <v>-109</v>
      </c>
      <c r="D286" s="13" t="inlineStr">
        <is>
          <t>supplement</t>
        </is>
      </c>
    </row>
    <row r="287">
      <c r="A287" s="13" t="inlineStr">
        <is>
          <t>2Q25</t>
        </is>
      </c>
      <c r="B287" s="13" t="inlineStr">
        <is>
          <t>sre_opex_pct</t>
        </is>
      </c>
      <c r="C287" s="13" t="n">
        <v>-0.16</v>
      </c>
      <c r="D287" s="13" t="inlineStr">
        <is>
          <t>supplement</t>
        </is>
      </c>
    </row>
    <row r="288">
      <c r="A288" s="13" t="inlineStr">
        <is>
          <t>2Q25</t>
        </is>
      </c>
      <c r="B288" s="13" t="inlineStr">
        <is>
          <t>sre_pct</t>
        </is>
      </c>
      <c r="C288" s="13" t="n">
        <v>1.22</v>
      </c>
      <c r="D288" s="13" t="inlineStr">
        <is>
          <t>supplement</t>
        </is>
      </c>
    </row>
    <row r="289">
      <c r="A289" s="13" t="inlineStr">
        <is>
          <t>2Q25</t>
        </is>
      </c>
      <c r="B289" s="13" t="inlineStr">
        <is>
          <t>total_gross_inflows</t>
        </is>
      </c>
      <c r="C289" s="13" t="n">
        <v>21232</v>
      </c>
      <c r="D289" s="13" t="inlineStr">
        <is>
          <t>supplement</t>
        </is>
      </c>
    </row>
    <row r="290">
      <c r="A290" s="13" t="inlineStr">
        <is>
          <t>2Q25</t>
        </is>
      </c>
      <c r="B290" s="13" t="inlineStr">
        <is>
          <t>total_gross_inflows_check</t>
        </is>
      </c>
      <c r="C290" s="13" t="n">
        <v>21232</v>
      </c>
      <c r="D290" s="13" t="inlineStr">
        <is>
          <t>supplement</t>
        </is>
      </c>
    </row>
    <row r="291">
      <c r="A291" s="13" t="inlineStr">
        <is>
          <t>2Q25</t>
        </is>
      </c>
      <c r="B291" s="13" t="inlineStr">
        <is>
          <t>total_gross_outflows_check</t>
        </is>
      </c>
      <c r="C291" s="13" t="n">
        <v>-7230</v>
      </c>
      <c r="D291" s="13" t="inlineStr">
        <is>
          <t>supplement</t>
        </is>
      </c>
    </row>
    <row r="292">
      <c r="A292" s="13" t="inlineStr">
        <is>
          <t>3Q25</t>
        </is>
      </c>
      <c r="B292" s="13" t="inlineStr">
        <is>
          <t>acra_begin</t>
        </is>
      </c>
      <c r="C292" s="13" t="n">
        <v>81809</v>
      </c>
      <c r="D292" s="13" t="inlineStr">
        <is>
          <t>supplement</t>
        </is>
      </c>
    </row>
    <row r="293">
      <c r="A293" s="13" t="inlineStr">
        <is>
          <t>3Q25</t>
        </is>
      </c>
      <c r="B293" s="13" t="inlineStr">
        <is>
          <t>acra_end</t>
        </is>
      </c>
      <c r="C293" s="13" t="n">
        <v>86826</v>
      </c>
      <c r="D293" s="13" t="inlineStr">
        <is>
          <t>supplement</t>
        </is>
      </c>
    </row>
    <row r="294">
      <c r="A294" s="13" t="inlineStr">
        <is>
          <t>3Q25</t>
        </is>
      </c>
      <c r="B294" s="13" t="inlineStr">
        <is>
          <t>acra_inflows</t>
        </is>
      </c>
      <c r="C294" s="13" t="n">
        <v>5167</v>
      </c>
      <c r="D294" s="13" t="inlineStr">
        <is>
          <t>supplement</t>
        </is>
      </c>
    </row>
    <row r="295">
      <c r="A295" s="13" t="inlineStr">
        <is>
          <t>3Q25</t>
        </is>
      </c>
      <c r="B295" s="13" t="inlineStr">
        <is>
          <t>acra_other</t>
        </is>
      </c>
      <c r="C295" s="13" t="n">
        <v>1307</v>
      </c>
      <c r="D295" s="13" t="inlineStr">
        <is>
          <t>supplement</t>
        </is>
      </c>
    </row>
    <row r="296">
      <c r="A296" s="13" t="inlineStr">
        <is>
          <t>3Q25</t>
        </is>
      </c>
      <c r="B296" s="13" t="inlineStr">
        <is>
          <t>acra_own</t>
        </is>
      </c>
      <c r="C296" s="13" t="n">
        <v>0</v>
      </c>
      <c r="D296" s="13" t="inlineStr">
        <is>
          <t>supplement</t>
        </is>
      </c>
    </row>
    <row r="297">
      <c r="A297" s="13" t="inlineStr">
        <is>
          <t>3Q25</t>
        </is>
      </c>
      <c r="B297" s="13" t="inlineStr">
        <is>
          <t>acra_withdrawals</t>
        </is>
      </c>
      <c r="C297" s="13" t="n">
        <v>-1457</v>
      </c>
      <c r="D297" s="13" t="inlineStr">
        <is>
          <t>supplement</t>
        </is>
      </c>
    </row>
    <row r="298">
      <c r="A298" s="13" t="inlineStr">
        <is>
          <t>3Q25</t>
        </is>
      </c>
      <c r="B298" s="13" t="inlineStr">
        <is>
          <t>avg_nia</t>
        </is>
      </c>
      <c r="C298" s="13" t="n">
        <v>280607</v>
      </c>
      <c r="D298" s="13" t="inlineStr">
        <is>
          <t>supplement</t>
        </is>
      </c>
    </row>
    <row r="299">
      <c r="A299" s="13" t="inlineStr">
        <is>
          <t>3Q25</t>
        </is>
      </c>
      <c r="B299" s="13" t="inlineStr">
        <is>
          <t>avg_nia_alt</t>
        </is>
      </c>
      <c r="C299" s="13" t="n">
        <v>13000</v>
      </c>
      <c r="D299" s="13" t="inlineStr">
        <is>
          <t>supplement</t>
        </is>
      </c>
    </row>
    <row r="300">
      <c r="A300" s="13" t="inlineStr">
        <is>
          <t>3Q25</t>
        </is>
      </c>
      <c r="B300" s="13" t="inlineStr">
        <is>
          <t>avg_nia_fi</t>
        </is>
      </c>
      <c r="C300" s="13" t="n">
        <v>267607</v>
      </c>
      <c r="D300" s="13" t="inlineStr">
        <is>
          <t>supplement</t>
        </is>
      </c>
    </row>
    <row r="301">
      <c r="A301" s="13" t="inlineStr">
        <is>
          <t>3Q25</t>
        </is>
      </c>
      <c r="B301" s="13" t="inlineStr">
        <is>
          <t>core_outflows</t>
        </is>
      </c>
      <c r="C301" s="13" t="n">
        <v>-9181</v>
      </c>
      <c r="D301" s="13" t="inlineStr">
        <is>
          <t>supplement</t>
        </is>
      </c>
    </row>
    <row r="302">
      <c r="A302" s="13" t="inlineStr">
        <is>
          <t>3Q25</t>
        </is>
      </c>
      <c r="B302" s="13" t="inlineStr">
        <is>
          <t>flow_reins</t>
        </is>
      </c>
      <c r="C302" s="13" t="n">
        <v>2542</v>
      </c>
      <c r="D302" s="13" t="inlineStr">
        <is>
          <t>supplement</t>
        </is>
      </c>
    </row>
    <row r="303">
      <c r="A303" s="13" t="inlineStr">
        <is>
          <t>3Q25</t>
        </is>
      </c>
      <c r="B303" s="13" t="inlineStr">
        <is>
          <t>funding_agreements</t>
        </is>
      </c>
      <c r="C303" s="13" t="n">
        <v>9724</v>
      </c>
      <c r="D303" s="13" t="inlineStr">
        <is>
          <t>supplement</t>
        </is>
      </c>
    </row>
    <row r="304">
      <c r="A304" s="13" t="inlineStr">
        <is>
          <t>3Q25</t>
        </is>
      </c>
      <c r="B304" s="13" t="inlineStr">
        <is>
          <t>gaap_dac</t>
        </is>
      </c>
      <c r="C304" s="13" t="n">
        <v>355</v>
      </c>
      <c r="D304" s="13" t="inlineStr">
        <is>
          <t>supplement</t>
        </is>
      </c>
    </row>
    <row r="305">
      <c r="A305" s="13" t="inlineStr">
        <is>
          <t>3Q25</t>
        </is>
      </c>
      <c r="B305" s="13" t="inlineStr">
        <is>
          <t>gaap_fpb</t>
        </is>
      </c>
      <c r="C305" s="13" t="n">
        <v>613</v>
      </c>
      <c r="D305" s="13" t="inlineStr">
        <is>
          <t>supplement</t>
        </is>
      </c>
    </row>
    <row r="306">
      <c r="A306" s="13" t="inlineStr">
        <is>
          <t>3Q25</t>
        </is>
      </c>
      <c r="B306" s="13" t="inlineStr">
        <is>
          <t>gaap_inv_gl</t>
        </is>
      </c>
      <c r="C306" s="13" t="n">
        <v>2254</v>
      </c>
      <c r="D306" s="13" t="inlineStr">
        <is>
          <t>supplement</t>
        </is>
      </c>
    </row>
    <row r="307">
      <c r="A307" s="13" t="inlineStr">
        <is>
          <t>3Q25</t>
        </is>
      </c>
      <c r="B307" s="13" t="inlineStr">
        <is>
          <t>gaap_iscb</t>
        </is>
      </c>
      <c r="C307" s="13" t="n">
        <v>4164</v>
      </c>
      <c r="D307" s="13" t="inlineStr">
        <is>
          <t>supplement</t>
        </is>
      </c>
    </row>
    <row r="308">
      <c r="A308" s="13" t="inlineStr">
        <is>
          <t>3Q25</t>
        </is>
      </c>
      <c r="B308" s="13" t="inlineStr">
        <is>
          <t>gaap_mrb</t>
        </is>
      </c>
      <c r="C308" s="13" t="n">
        <v>131</v>
      </c>
      <c r="D308" s="13" t="inlineStr">
        <is>
          <t>supplement</t>
        </is>
      </c>
    </row>
    <row r="309">
      <c r="A309" s="13" t="inlineStr">
        <is>
          <t>3Q25</t>
        </is>
      </c>
      <c r="B309" s="13" t="inlineStr">
        <is>
          <t>gaap_ni</t>
        </is>
      </c>
      <c r="C309" s="13" t="n">
        <v>1878</v>
      </c>
      <c r="D309" s="13" t="inlineStr">
        <is>
          <t>supplement</t>
        </is>
      </c>
    </row>
    <row r="310">
      <c r="A310" s="13" t="inlineStr">
        <is>
          <t>3Q25</t>
        </is>
      </c>
      <c r="B310" s="13" t="inlineStr">
        <is>
          <t>gaap_ni_ahl</t>
        </is>
      </c>
      <c r="C310" s="13" t="n">
        <v>1259</v>
      </c>
      <c r="D310" s="13" t="inlineStr">
        <is>
          <t>supplement</t>
        </is>
      </c>
    </row>
    <row r="311">
      <c r="A311" s="13" t="inlineStr">
        <is>
          <t>3Q25</t>
        </is>
      </c>
      <c r="B311" s="13" t="inlineStr">
        <is>
          <t>gaap_ni_common</t>
        </is>
      </c>
      <c r="C311" s="13" t="n">
        <v>1223</v>
      </c>
      <c r="D311" s="13" t="inlineStr">
        <is>
          <t>supplement</t>
        </is>
      </c>
    </row>
    <row r="312">
      <c r="A312" s="13" t="inlineStr">
        <is>
          <t>3Q25</t>
        </is>
      </c>
      <c r="B312" s="13" t="inlineStr">
        <is>
          <t>gaap_ni_nci</t>
        </is>
      </c>
      <c r="C312" s="13" t="n">
        <v>619</v>
      </c>
      <c r="D312" s="13" t="inlineStr">
        <is>
          <t>supplement</t>
        </is>
      </c>
    </row>
    <row r="313">
      <c r="A313" s="13" t="inlineStr">
        <is>
          <t>3Q25</t>
        </is>
      </c>
      <c r="B313" s="13" t="inlineStr">
        <is>
          <t>gaap_nii</t>
        </is>
      </c>
      <c r="C313" s="13" t="n">
        <v>4672</v>
      </c>
      <c r="D313" s="13" t="inlineStr">
        <is>
          <t>supplement</t>
        </is>
      </c>
    </row>
    <row r="314">
      <c r="A314" s="13" t="inlineStr">
        <is>
          <t>3Q25</t>
        </is>
      </c>
      <c r="B314" s="13" t="inlineStr">
        <is>
          <t>gaap_opex</t>
        </is>
      </c>
      <c r="C314" s="13" t="n">
        <v>591</v>
      </c>
      <c r="D314" s="13" t="inlineStr">
        <is>
          <t>supplement</t>
        </is>
      </c>
    </row>
    <row r="315">
      <c r="A315" s="13" t="inlineStr">
        <is>
          <t>3Q25</t>
        </is>
      </c>
      <c r="B315" s="13" t="inlineStr">
        <is>
          <t>gaap_other_rev</t>
        </is>
      </c>
      <c r="C315" s="13" t="n">
        <v>6</v>
      </c>
      <c r="D315" s="13" t="inlineStr">
        <is>
          <t>supplement</t>
        </is>
      </c>
    </row>
    <row r="316">
      <c r="A316" s="13" t="inlineStr">
        <is>
          <t>3Q25</t>
        </is>
      </c>
      <c r="B316" s="13" t="inlineStr">
        <is>
          <t>gaap_pref</t>
        </is>
      </c>
      <c r="C316" s="13" t="n">
        <v>36</v>
      </c>
      <c r="D316" s="13" t="inlineStr">
        <is>
          <t>supplement</t>
        </is>
      </c>
    </row>
    <row r="317">
      <c r="A317" s="13" t="inlineStr">
        <is>
          <t>3Q25</t>
        </is>
      </c>
      <c r="B317" s="13" t="inlineStr">
        <is>
          <t>gaap_pref_red</t>
        </is>
      </c>
      <c r="C317" s="13" t="n">
        <v>0</v>
      </c>
      <c r="D317" s="13" t="inlineStr">
        <is>
          <t>supplement</t>
        </is>
      </c>
    </row>
    <row r="318">
      <c r="A318" s="13" t="inlineStr">
        <is>
          <t>3Q25</t>
        </is>
      </c>
      <c r="B318" s="13" t="inlineStr">
        <is>
          <t>gaap_premiums</t>
        </is>
      </c>
      <c r="C318" s="13" t="n">
        <v>117</v>
      </c>
      <c r="D318" s="13" t="inlineStr">
        <is>
          <t>supplement</t>
        </is>
      </c>
    </row>
    <row r="319">
      <c r="A319" s="13" t="inlineStr">
        <is>
          <t>3Q25</t>
        </is>
      </c>
      <c r="B319" s="13" t="inlineStr">
        <is>
          <t>gaap_pretax</t>
        </is>
      </c>
      <c r="C319" s="13" t="n">
        <v>2144</v>
      </c>
      <c r="D319" s="13" t="inlineStr">
        <is>
          <t>supplement</t>
        </is>
      </c>
    </row>
    <row r="320">
      <c r="A320" s="13" t="inlineStr">
        <is>
          <t>3Q25</t>
        </is>
      </c>
      <c r="B320" s="13" t="inlineStr">
        <is>
          <t>gaap_product_charges</t>
        </is>
      </c>
      <c r="C320" s="13" t="n">
        <v>292</v>
      </c>
      <c r="D320" s="13" t="inlineStr">
        <is>
          <t>supplement</t>
        </is>
      </c>
    </row>
    <row r="321">
      <c r="A321" s="13" t="inlineStr">
        <is>
          <t>3Q25</t>
        </is>
      </c>
      <c r="B321" s="13" t="inlineStr">
        <is>
          <t>gaap_tax</t>
        </is>
      </c>
      <c r="C321" s="13" t="n">
        <v>266</v>
      </c>
      <c r="D321" s="13" t="inlineStr">
        <is>
          <t>supplement</t>
        </is>
      </c>
    </row>
    <row r="322">
      <c r="A322" s="13" t="inlineStr">
        <is>
          <t>3Q25</t>
        </is>
      </c>
      <c r="B322" s="13" t="inlineStr">
        <is>
          <t>gaap_total_be</t>
        </is>
      </c>
      <c r="C322" s="13" t="n">
        <v>5854</v>
      </c>
      <c r="D322" s="13" t="inlineStr">
        <is>
          <t>supplement</t>
        </is>
      </c>
    </row>
    <row r="323">
      <c r="A323" s="13" t="inlineStr">
        <is>
          <t>3Q25</t>
        </is>
      </c>
      <c r="B323" s="13" t="inlineStr">
        <is>
          <t>gaap_total_rev</t>
        </is>
      </c>
      <c r="C323" s="13" t="n">
        <v>7998</v>
      </c>
      <c r="D323" s="13" t="inlineStr">
        <is>
          <t>supplement</t>
        </is>
      </c>
    </row>
    <row r="324">
      <c r="A324" s="13" t="inlineStr">
        <is>
          <t>3Q25</t>
        </is>
      </c>
      <c r="B324" s="13" t="inlineStr">
        <is>
          <t>gaap_vie_gl</t>
        </is>
      </c>
      <c r="C324" s="13" t="n">
        <v>565</v>
      </c>
      <c r="D324" s="13" t="inlineStr">
        <is>
          <t>supplement</t>
        </is>
      </c>
    </row>
    <row r="325">
      <c r="A325" s="13" t="inlineStr">
        <is>
          <t>3Q25</t>
        </is>
      </c>
      <c r="B325" s="13" t="inlineStr">
        <is>
          <t>gaap_vie_nii</t>
        </is>
      </c>
      <c r="C325" s="13" t="n">
        <v>92</v>
      </c>
      <c r="D325" s="13" t="inlineStr">
        <is>
          <t>supplement</t>
        </is>
      </c>
    </row>
    <row r="326">
      <c r="A326" s="13" t="inlineStr">
        <is>
          <t>3Q25</t>
        </is>
      </c>
      <c r="B326" s="13" t="inlineStr">
        <is>
          <t>gross_inorganic</t>
        </is>
      </c>
      <c r="C326" s="13" t="n">
        <v>0</v>
      </c>
      <c r="D326" s="13" t="inlineStr">
        <is>
          <t>supplement</t>
        </is>
      </c>
    </row>
    <row r="327">
      <c r="A327" s="13" t="inlineStr">
        <is>
          <t>3Q25</t>
        </is>
      </c>
      <c r="B327" s="13" t="inlineStr">
        <is>
          <t>gross_organic</t>
        </is>
      </c>
      <c r="C327" s="13" t="n">
        <v>22616</v>
      </c>
      <c r="D327" s="13" t="inlineStr">
        <is>
          <t>supplement</t>
        </is>
      </c>
    </row>
    <row r="328">
      <c r="A328" s="13" t="inlineStr">
        <is>
          <t>3Q25</t>
        </is>
      </c>
      <c r="B328" s="13" t="inlineStr">
        <is>
          <t>gross_outflows</t>
        </is>
      </c>
      <c r="C328" s="13" t="n">
        <v>-10638</v>
      </c>
      <c r="D328" s="13" t="inlineStr">
        <is>
          <t>supplement</t>
        </is>
      </c>
    </row>
    <row r="329">
      <c r="A329" s="13" t="inlineStr">
        <is>
          <t>3Q25</t>
        </is>
      </c>
      <c r="B329" s="13" t="inlineStr">
        <is>
          <t>inflows_adip</t>
        </is>
      </c>
      <c r="C329" s="13" t="n">
        <v>4962</v>
      </c>
      <c r="D329" s="13" t="inlineStr">
        <is>
          <t>supplement</t>
        </is>
      </c>
    </row>
    <row r="330">
      <c r="A330" s="13" t="inlineStr">
        <is>
          <t>3Q25</t>
        </is>
      </c>
      <c r="B330" s="13" t="inlineStr">
        <is>
          <t>inflows_athene</t>
        </is>
      </c>
      <c r="C330" s="13" t="n">
        <v>17138</v>
      </c>
      <c r="D330" s="13" t="inlineStr">
        <is>
          <t>supplement</t>
        </is>
      </c>
    </row>
    <row r="331">
      <c r="A331" s="13" t="inlineStr">
        <is>
          <t>3Q25</t>
        </is>
      </c>
      <c r="B331" s="13" t="inlineStr">
        <is>
          <t>inflows_ceded_3p</t>
        </is>
      </c>
      <c r="C331" s="13" t="n">
        <v>516</v>
      </c>
      <c r="D331" s="13" t="inlineStr">
        <is>
          <t>supplement</t>
        </is>
      </c>
    </row>
    <row r="332">
      <c r="A332" s="13" t="inlineStr">
        <is>
          <t>3Q25</t>
        </is>
      </c>
      <c r="B332" s="13" t="inlineStr">
        <is>
          <t>net_flows</t>
        </is>
      </c>
      <c r="C332" s="13" t="n">
        <v>11978</v>
      </c>
      <c r="D332" s="13" t="inlineStr">
        <is>
          <t>supplement</t>
        </is>
      </c>
    </row>
    <row r="333">
      <c r="A333" s="13" t="inlineStr">
        <is>
          <t>3Q25</t>
        </is>
      </c>
      <c r="B333" s="13" t="inlineStr">
        <is>
          <t>nrl_begin</t>
        </is>
      </c>
      <c r="C333" s="13" t="n">
        <v>254572</v>
      </c>
      <c r="D333" s="13" t="inlineStr">
        <is>
          <t>supplement</t>
        </is>
      </c>
    </row>
    <row r="334">
      <c r="A334" s="13" t="inlineStr">
        <is>
          <t>3Q25</t>
        </is>
      </c>
      <c r="B334" s="13" t="inlineStr">
        <is>
          <t>nrl_end</t>
        </is>
      </c>
      <c r="C334" s="13" t="n">
        <v>266451</v>
      </c>
      <c r="D334" s="13" t="inlineStr">
        <is>
          <t>supplement</t>
        </is>
      </c>
    </row>
    <row r="335">
      <c r="A335" s="13" t="inlineStr">
        <is>
          <t>3Q25</t>
        </is>
      </c>
      <c r="B335" s="13" t="inlineStr">
        <is>
          <t>other_spread</t>
        </is>
      </c>
      <c r="C335" s="13" t="n">
        <v>304</v>
      </c>
      <c r="D335" s="13" t="inlineStr">
        <is>
          <t>supplement</t>
        </is>
      </c>
    </row>
    <row r="336">
      <c r="A336" s="13" t="inlineStr">
        <is>
          <t>3Q25</t>
        </is>
      </c>
      <c r="B336" s="13" t="inlineStr">
        <is>
          <t>outflow_income_planned</t>
        </is>
      </c>
      <c r="C336" s="13" t="n">
        <v>-1660</v>
      </c>
      <c r="D336" s="13" t="inlineStr">
        <is>
          <t>supplement</t>
        </is>
      </c>
    </row>
    <row r="337">
      <c r="A337" s="13" t="inlineStr">
        <is>
          <t>3Q25</t>
        </is>
      </c>
      <c r="B337" s="13" t="inlineStr">
        <is>
          <t>outflow_isc_unplanned</t>
        </is>
      </c>
      <c r="C337" s="13" t="n">
        <v>-903</v>
      </c>
      <c r="D337" s="13" t="inlineStr">
        <is>
          <t>supplement</t>
        </is>
      </c>
    </row>
    <row r="338">
      <c r="A338" s="13" t="inlineStr">
        <is>
          <t>3Q25</t>
        </is>
      </c>
      <c r="B338" s="13" t="inlineStr">
        <is>
          <t>outflow_maturity_driven</t>
        </is>
      </c>
      <c r="C338" s="13" t="n">
        <v>-5525</v>
      </c>
      <c r="D338" s="13" t="inlineStr">
        <is>
          <t>supplement</t>
        </is>
      </c>
    </row>
    <row r="339">
      <c r="A339" s="13" t="inlineStr">
        <is>
          <t>3Q25</t>
        </is>
      </c>
      <c r="B339" s="13" t="inlineStr">
        <is>
          <t>outflow_oosc_planned</t>
        </is>
      </c>
      <c r="C339" s="13" t="n">
        <v>-1093</v>
      </c>
      <c r="D339" s="13" t="inlineStr">
        <is>
          <t>supplement</t>
        </is>
      </c>
    </row>
    <row r="340">
      <c r="A340" s="13" t="inlineStr">
        <is>
          <t>3Q25</t>
        </is>
      </c>
      <c r="B340" s="13" t="inlineStr">
        <is>
          <t>outflow_policyholder</t>
        </is>
      </c>
      <c r="C340" s="13" t="n">
        <v>-3656</v>
      </c>
      <c r="D340" s="13" t="inlineStr">
        <is>
          <t>supplement</t>
        </is>
      </c>
    </row>
    <row r="341">
      <c r="A341" s="13" t="inlineStr">
        <is>
          <t>3Q25</t>
        </is>
      </c>
      <c r="B341" s="13" t="inlineStr">
        <is>
          <t>outflows_adip</t>
        </is>
      </c>
      <c r="C341" s="13" t="n">
        <v>-1457</v>
      </c>
      <c r="D341" s="13" t="inlineStr">
        <is>
          <t>supplement</t>
        </is>
      </c>
    </row>
    <row r="342">
      <c r="A342" s="13" t="inlineStr">
        <is>
          <t>3Q25</t>
        </is>
      </c>
      <c r="B342" s="13" t="inlineStr">
        <is>
          <t>outflows_athene</t>
        </is>
      </c>
      <c r="C342" s="13" t="n">
        <v>-9181</v>
      </c>
      <c r="D342" s="13" t="inlineStr">
        <is>
          <t>supplement</t>
        </is>
      </c>
    </row>
    <row r="343">
      <c r="A343" s="13" t="inlineStr">
        <is>
          <t>3Q25</t>
        </is>
      </c>
      <c r="B343" s="13" t="inlineStr">
        <is>
          <t>pga</t>
        </is>
      </c>
      <c r="C343" s="13" t="n">
        <v>0</v>
      </c>
      <c r="D343" s="13" t="inlineStr">
        <is>
          <t>supplement</t>
        </is>
      </c>
    </row>
    <row r="344">
      <c r="A344" s="13" t="inlineStr">
        <is>
          <t>3Q25</t>
        </is>
      </c>
      <c r="B344" s="13" t="inlineStr">
        <is>
          <t>retail</t>
        </is>
      </c>
      <c r="C344" s="13" t="n">
        <v>10046</v>
      </c>
      <c r="D344" s="13" t="inlineStr">
        <is>
          <t>supplement</t>
        </is>
      </c>
    </row>
    <row r="345">
      <c r="A345" s="13" t="inlineStr">
        <is>
          <t>3Q25</t>
        </is>
      </c>
      <c r="B345" s="13" t="inlineStr">
        <is>
          <t>roll_acra_nci</t>
        </is>
      </c>
      <c r="C345" s="13" t="n">
        <v>-5167</v>
      </c>
      <c r="D345" s="13" t="inlineStr">
        <is>
          <t>supplement</t>
        </is>
      </c>
    </row>
    <row r="346">
      <c r="A346" s="13" t="inlineStr">
        <is>
          <t>3Q25</t>
        </is>
      </c>
      <c r="B346" s="13" t="inlineStr">
        <is>
          <t>roll_acra_own</t>
        </is>
      </c>
      <c r="C346" s="13" t="n">
        <v>0</v>
      </c>
      <c r="D346" s="13" t="inlineStr">
        <is>
          <t>supplement</t>
        </is>
      </c>
    </row>
    <row r="347">
      <c r="A347" s="13" t="inlineStr">
        <is>
          <t>3Q25</t>
        </is>
      </c>
      <c r="B347" s="13" t="inlineStr">
        <is>
          <t>roll_block</t>
        </is>
      </c>
      <c r="C347" s="13" t="n">
        <v>0</v>
      </c>
      <c r="D347" s="13" t="inlineStr">
        <is>
          <t>supplement</t>
        </is>
      </c>
    </row>
    <row r="348">
      <c r="A348" s="13" t="inlineStr">
        <is>
          <t>3Q25</t>
        </is>
      </c>
      <c r="B348" s="13" t="inlineStr">
        <is>
          <t>roll_ceded_3p</t>
        </is>
      </c>
      <c r="C348" s="13" t="n">
        <v>-517</v>
      </c>
      <c r="D348" s="13" t="inlineStr">
        <is>
          <t>supplement</t>
        </is>
      </c>
    </row>
    <row r="349">
      <c r="A349" s="13" t="inlineStr">
        <is>
          <t>3Q25</t>
        </is>
      </c>
      <c r="B349" s="13" t="inlineStr">
        <is>
          <t>roll_gross_inflows</t>
        </is>
      </c>
      <c r="C349" s="13" t="n">
        <v>23379</v>
      </c>
      <c r="D349" s="13" t="inlineStr">
        <is>
          <t>supplement</t>
        </is>
      </c>
    </row>
    <row r="350">
      <c r="A350" s="13" t="inlineStr">
        <is>
          <t>3Q25</t>
        </is>
      </c>
      <c r="B350" s="13" t="inlineStr">
        <is>
          <t>roll_net_inflows</t>
        </is>
      </c>
      <c r="C350" s="13" t="n">
        <v>17695</v>
      </c>
      <c r="D350" s="13" t="inlineStr">
        <is>
          <t>supplement</t>
        </is>
      </c>
    </row>
    <row r="351">
      <c r="A351" s="13" t="inlineStr">
        <is>
          <t>3Q25</t>
        </is>
      </c>
      <c r="B351" s="13" t="inlineStr">
        <is>
          <t>roll_net_withdrawals</t>
        </is>
      </c>
      <c r="C351" s="13" t="n">
        <v>-9181</v>
      </c>
      <c r="D351" s="13" t="inlineStr">
        <is>
          <t>supplement</t>
        </is>
      </c>
    </row>
    <row r="352">
      <c r="A352" s="13" t="inlineStr">
        <is>
          <t>3Q25</t>
        </is>
      </c>
      <c r="B352" s="13" t="inlineStr">
        <is>
          <t>roll_other</t>
        </is>
      </c>
      <c r="C352" s="13" t="n">
        <v>3365</v>
      </c>
      <c r="D352" s="13" t="inlineStr">
        <is>
          <t>supplement</t>
        </is>
      </c>
    </row>
    <row r="353">
      <c r="A353" s="13" t="inlineStr">
        <is>
          <t>3Q25</t>
        </is>
      </c>
      <c r="B353" s="13" t="inlineStr">
        <is>
          <t>sre</t>
        </is>
      </c>
      <c r="C353" s="13" t="n">
        <v>872</v>
      </c>
      <c r="D353" s="13" t="inlineStr">
        <is>
          <t>supplement</t>
        </is>
      </c>
    </row>
    <row r="354">
      <c r="A354" s="13" t="inlineStr">
        <is>
          <t>3Q25</t>
        </is>
      </c>
      <c r="B354" s="13" t="inlineStr">
        <is>
          <t>sre_alt_nii</t>
        </is>
      </c>
      <c r="C354" s="13" t="n">
        <v>321</v>
      </c>
      <c r="D354" s="13" t="inlineStr">
        <is>
          <t>supplement</t>
        </is>
      </c>
    </row>
    <row r="355">
      <c r="A355" s="13" t="inlineStr">
        <is>
          <t>3Q25</t>
        </is>
      </c>
      <c r="B355" s="13" t="inlineStr">
        <is>
          <t>sre_alt_nii_pct</t>
        </is>
      </c>
      <c r="C355" s="13" t="n">
        <v>9.880000000000001</v>
      </c>
      <c r="D355" s="13" t="inlineStr">
        <is>
          <t>supplement</t>
        </is>
      </c>
    </row>
    <row r="356">
      <c r="A356" s="13" t="inlineStr">
        <is>
          <t>3Q25</t>
        </is>
      </c>
      <c r="B356" s="13" t="inlineStr">
        <is>
          <t>sre_cof</t>
        </is>
      </c>
      <c r="C356" s="13" t="n">
        <v>-2661</v>
      </c>
      <c r="D356" s="13" t="inlineStr">
        <is>
          <t>supplement</t>
        </is>
      </c>
    </row>
    <row r="357">
      <c r="A357" s="13" t="inlineStr">
        <is>
          <t>3Q25</t>
        </is>
      </c>
      <c r="B357" s="13" t="inlineStr">
        <is>
          <t>sre_cof_pct</t>
        </is>
      </c>
      <c r="C357" s="13" t="n">
        <v>-3.79</v>
      </c>
      <c r="D357" s="13" t="inlineStr">
        <is>
          <t>supplement</t>
        </is>
      </c>
    </row>
    <row r="358">
      <c r="A358" s="13" t="inlineStr">
        <is>
          <t>3Q25</t>
        </is>
      </c>
      <c r="B358" s="13" t="inlineStr">
        <is>
          <t>sre_fees</t>
        </is>
      </c>
      <c r="C358" s="13" t="n">
        <v>35</v>
      </c>
      <c r="D358" s="13" t="inlineStr">
        <is>
          <t>supplement</t>
        </is>
      </c>
    </row>
    <row r="359">
      <c r="A359" s="13" t="inlineStr">
        <is>
          <t>3Q25</t>
        </is>
      </c>
      <c r="B359" s="13" t="inlineStr">
        <is>
          <t>sre_fees_pct</t>
        </is>
      </c>
      <c r="C359" s="13" t="n">
        <v>0.05</v>
      </c>
      <c r="D359" s="13" t="inlineStr">
        <is>
          <t>supplement</t>
        </is>
      </c>
    </row>
    <row r="360">
      <c r="A360" s="13" t="inlineStr">
        <is>
          <t>3Q25</t>
        </is>
      </c>
      <c r="B360" s="13" t="inlineStr">
        <is>
          <t>sre_fi_nii</t>
        </is>
      </c>
      <c r="C360" s="13" t="n">
        <v>3425</v>
      </c>
      <c r="D360" s="13" t="inlineStr">
        <is>
          <t>supplement</t>
        </is>
      </c>
    </row>
    <row r="361">
      <c r="A361" s="13" t="inlineStr">
        <is>
          <t>3Q25</t>
        </is>
      </c>
      <c r="B361" s="13" t="inlineStr">
        <is>
          <t>sre_fi_nii_pct</t>
        </is>
      </c>
      <c r="C361" s="13" t="n">
        <v>5.12</v>
      </c>
      <c r="D361" s="13" t="inlineStr">
        <is>
          <t>supplement</t>
        </is>
      </c>
    </row>
    <row r="362">
      <c r="A362" s="13" t="inlineStr">
        <is>
          <t>3Q25</t>
        </is>
      </c>
      <c r="B362" s="13" t="inlineStr">
        <is>
          <t>sre_fin</t>
        </is>
      </c>
      <c r="C362" s="13" t="n">
        <v>-140</v>
      </c>
      <c r="D362" s="13" t="inlineStr">
        <is>
          <t>supplement</t>
        </is>
      </c>
    </row>
    <row r="363">
      <c r="A363" s="13" t="inlineStr">
        <is>
          <t>3Q25</t>
        </is>
      </c>
      <c r="B363" s="13" t="inlineStr">
        <is>
          <t>sre_fin_pct</t>
        </is>
      </c>
      <c r="C363" s="13" t="n">
        <v>-0.21</v>
      </c>
      <c r="D363" s="13" t="inlineStr">
        <is>
          <t>supplement</t>
        </is>
      </c>
    </row>
    <row r="364">
      <c r="A364" s="13" t="inlineStr">
        <is>
          <t>3Q25</t>
        </is>
      </c>
      <c r="B364" s="13" t="inlineStr">
        <is>
          <t>sre_nie</t>
        </is>
      </c>
      <c r="C364" s="13" t="n">
        <v>3746</v>
      </c>
      <c r="D364" s="13" t="inlineStr">
        <is>
          <t>supplement</t>
        </is>
      </c>
    </row>
    <row r="365">
      <c r="A365" s="13" t="inlineStr">
        <is>
          <t>3Q25</t>
        </is>
      </c>
      <c r="B365" s="13" t="inlineStr">
        <is>
          <t>sre_nie_pct</t>
        </is>
      </c>
      <c r="C365" s="13" t="n">
        <v>5.34</v>
      </c>
      <c r="D365" s="13" t="inlineStr">
        <is>
          <t>supplement</t>
        </is>
      </c>
    </row>
    <row r="366">
      <c r="A366" s="13" t="inlineStr">
        <is>
          <t>3Q25</t>
        </is>
      </c>
      <c r="B366" s="13" t="inlineStr">
        <is>
          <t>sre_nis</t>
        </is>
      </c>
      <c r="C366" s="13" t="n">
        <v>1120</v>
      </c>
      <c r="D366" s="13" t="inlineStr">
        <is>
          <t>supplement</t>
        </is>
      </c>
    </row>
    <row r="367">
      <c r="A367" s="13" t="inlineStr">
        <is>
          <t>3Q25</t>
        </is>
      </c>
      <c r="B367" s="13" t="inlineStr">
        <is>
          <t>sre_nis_pct</t>
        </is>
      </c>
      <c r="C367" s="13" t="n">
        <v>1.6</v>
      </c>
      <c r="D367" s="13" t="inlineStr">
        <is>
          <t>supplement</t>
        </is>
      </c>
    </row>
    <row r="368">
      <c r="A368" s="13" t="inlineStr">
        <is>
          <t>3Q25</t>
        </is>
      </c>
      <c r="B368" s="13" t="inlineStr">
        <is>
          <t>sre_opex</t>
        </is>
      </c>
      <c r="C368" s="13" t="n">
        <v>-108</v>
      </c>
      <c r="D368" s="13" t="inlineStr">
        <is>
          <t>supplement</t>
        </is>
      </c>
    </row>
    <row r="369">
      <c r="A369" s="13" t="inlineStr">
        <is>
          <t>3Q25</t>
        </is>
      </c>
      <c r="B369" s="13" t="inlineStr">
        <is>
          <t>sre_opex_pct</t>
        </is>
      </c>
      <c r="C369" s="13" t="n">
        <v>-0.15</v>
      </c>
      <c r="D369" s="13" t="inlineStr">
        <is>
          <t>supplement</t>
        </is>
      </c>
    </row>
    <row r="370">
      <c r="A370" s="13" t="inlineStr">
        <is>
          <t>3Q25</t>
        </is>
      </c>
      <c r="B370" s="13" t="inlineStr">
        <is>
          <t>sre_pct</t>
        </is>
      </c>
      <c r="C370" s="13" t="n">
        <v>1.24</v>
      </c>
      <c r="D370" s="13" t="inlineStr">
        <is>
          <t>supplement</t>
        </is>
      </c>
    </row>
    <row r="371">
      <c r="A371" s="13" t="inlineStr">
        <is>
          <t>3Q25</t>
        </is>
      </c>
      <c r="B371" s="13" t="inlineStr">
        <is>
          <t>total_gross_inflows</t>
        </is>
      </c>
      <c r="C371" s="13" t="n">
        <v>22616</v>
      </c>
      <c r="D371" s="13" t="inlineStr">
        <is>
          <t>supplement</t>
        </is>
      </c>
    </row>
    <row r="372">
      <c r="A372" s="13" t="inlineStr">
        <is>
          <t>3Q25</t>
        </is>
      </c>
      <c r="B372" s="13" t="inlineStr">
        <is>
          <t>total_gross_inflows_check</t>
        </is>
      </c>
      <c r="C372" s="13" t="n">
        <v>22616</v>
      </c>
      <c r="D372" s="13" t="inlineStr">
        <is>
          <t>supplement</t>
        </is>
      </c>
    </row>
    <row r="373">
      <c r="A373" s="13" t="inlineStr">
        <is>
          <t>3Q25</t>
        </is>
      </c>
      <c r="B373" s="13" t="inlineStr">
        <is>
          <t>total_gross_outflows_check</t>
        </is>
      </c>
      <c r="C373" s="13" t="n">
        <v>-10638</v>
      </c>
      <c r="D373" s="13" t="inlineStr">
        <is>
          <t>supplement</t>
        </is>
      </c>
    </row>
    <row r="374">
      <c r="A374" s="13" t="inlineStr">
        <is>
          <t>4Q24</t>
        </is>
      </c>
      <c r="B374" s="13" t="inlineStr">
        <is>
          <t>acra_begin</t>
        </is>
      </c>
      <c r="C374" s="13" t="n">
        <v>68092</v>
      </c>
      <c r="D374" s="13" t="inlineStr">
        <is>
          <t>supplement</t>
        </is>
      </c>
    </row>
    <row r="375">
      <c r="A375" s="13" t="inlineStr">
        <is>
          <t>4Q24</t>
        </is>
      </c>
      <c r="B375" s="13" t="inlineStr">
        <is>
          <t>acra_end</t>
        </is>
      </c>
      <c r="C375" s="13" t="n">
        <v>72164</v>
      </c>
      <c r="D375" s="13" t="inlineStr">
        <is>
          <t>supplement</t>
        </is>
      </c>
    </row>
    <row r="376">
      <c r="A376" s="13" t="inlineStr">
        <is>
          <t>4Q24</t>
        </is>
      </c>
      <c r="B376" s="13" t="inlineStr">
        <is>
          <t>acra_inflows</t>
        </is>
      </c>
      <c r="C376" s="13" t="n">
        <v>4418</v>
      </c>
      <c r="D376" s="13" t="inlineStr">
        <is>
          <t>supplement</t>
        </is>
      </c>
    </row>
    <row r="377">
      <c r="A377" s="13" t="inlineStr">
        <is>
          <t>4Q24</t>
        </is>
      </c>
      <c r="B377" s="13" t="inlineStr">
        <is>
          <t>acra_other</t>
        </is>
      </c>
      <c r="C377" s="13" t="n">
        <v>-681</v>
      </c>
      <c r="D377" s="13" t="inlineStr">
        <is>
          <t>supplement</t>
        </is>
      </c>
    </row>
    <row r="378">
      <c r="A378" s="13" t="inlineStr">
        <is>
          <t>4Q24</t>
        </is>
      </c>
      <c r="B378" s="13" t="inlineStr">
        <is>
          <t>acra_own</t>
        </is>
      </c>
      <c r="C378" s="13" t="n">
        <v>1774</v>
      </c>
      <c r="D378" s="13" t="inlineStr">
        <is>
          <t>supplement</t>
        </is>
      </c>
    </row>
    <row r="379">
      <c r="A379" s="13" t="inlineStr">
        <is>
          <t>4Q24</t>
        </is>
      </c>
      <c r="B379" s="13" t="inlineStr">
        <is>
          <t>acra_withdrawals</t>
        </is>
      </c>
      <c r="C379" s="13" t="n">
        <v>-1439</v>
      </c>
      <c r="D379" s="13" t="inlineStr">
        <is>
          <t>supplement</t>
        </is>
      </c>
    </row>
    <row r="380">
      <c r="A380" s="13" t="inlineStr">
        <is>
          <t>4Q24</t>
        </is>
      </c>
      <c r="B380" s="13" t="inlineStr">
        <is>
          <t>avg_nia</t>
        </is>
      </c>
      <c r="C380" s="13" t="n">
        <v>244796</v>
      </c>
      <c r="D380" s="13" t="inlineStr">
        <is>
          <t>supplement</t>
        </is>
      </c>
    </row>
    <row r="381">
      <c r="A381" s="13" t="inlineStr">
        <is>
          <t>4Q24</t>
        </is>
      </c>
      <c r="B381" s="13" t="inlineStr">
        <is>
          <t>avg_nia_alt</t>
        </is>
      </c>
      <c r="C381" s="13" t="n">
        <v>11643</v>
      </c>
      <c r="D381" s="13" t="inlineStr">
        <is>
          <t>supplement</t>
        </is>
      </c>
    </row>
    <row r="382">
      <c r="A382" s="13" t="inlineStr">
        <is>
          <t>4Q24</t>
        </is>
      </c>
      <c r="B382" s="13" t="inlineStr">
        <is>
          <t>avg_nia_fi</t>
        </is>
      </c>
      <c r="C382" s="13" t="n">
        <v>233153</v>
      </c>
      <c r="D382" s="13" t="inlineStr">
        <is>
          <t>supplement</t>
        </is>
      </c>
    </row>
    <row r="383">
      <c r="A383" s="13" t="inlineStr">
        <is>
          <t>4Q24</t>
        </is>
      </c>
      <c r="B383" s="13" t="inlineStr">
        <is>
          <t>core_outflows</t>
        </is>
      </c>
      <c r="C383" s="13" t="n">
        <v>-5697</v>
      </c>
      <c r="D383" s="13" t="inlineStr">
        <is>
          <t>supplement</t>
        </is>
      </c>
    </row>
    <row r="384">
      <c r="A384" s="13" t="inlineStr">
        <is>
          <t>4Q24</t>
        </is>
      </c>
      <c r="B384" s="13" t="inlineStr">
        <is>
          <t>cq_naic1</t>
        </is>
      </c>
      <c r="C384" s="13" t="n">
        <v>93116</v>
      </c>
      <c r="D384" s="13" t="inlineStr">
        <is>
          <t>supplement</t>
        </is>
      </c>
    </row>
    <row r="385">
      <c r="A385" s="13" t="inlineStr">
        <is>
          <t>4Q24</t>
        </is>
      </c>
      <c r="B385" s="13" t="inlineStr">
        <is>
          <t>cq_naic2</t>
        </is>
      </c>
      <c r="C385" s="13" t="n">
        <v>68559</v>
      </c>
      <c r="D385" s="13" t="inlineStr">
        <is>
          <t>supplement</t>
        </is>
      </c>
    </row>
    <row r="386">
      <c r="A386" s="13" t="inlineStr">
        <is>
          <t>4Q24</t>
        </is>
      </c>
      <c r="B386" s="13" t="inlineStr">
        <is>
          <t>cq_naic3</t>
        </is>
      </c>
      <c r="C386" s="13" t="n">
        <v>3255</v>
      </c>
      <c r="D386" s="13" t="inlineStr">
        <is>
          <t>supplement</t>
        </is>
      </c>
    </row>
    <row r="387">
      <c r="A387" s="13" t="inlineStr">
        <is>
          <t>4Q24</t>
        </is>
      </c>
      <c r="B387" s="13" t="inlineStr">
        <is>
          <t>cq_naic4</t>
        </is>
      </c>
      <c r="C387" s="13" t="n">
        <v>1296</v>
      </c>
      <c r="D387" s="13" t="inlineStr">
        <is>
          <t>supplement</t>
        </is>
      </c>
    </row>
    <row r="388">
      <c r="A388" s="13" t="inlineStr">
        <is>
          <t>4Q24</t>
        </is>
      </c>
      <c r="B388" s="13" t="inlineStr">
        <is>
          <t>cq_naic5</t>
        </is>
      </c>
      <c r="C388" s="13" t="n">
        <v>522</v>
      </c>
      <c r="D388" s="13" t="inlineStr">
        <is>
          <t>supplement</t>
        </is>
      </c>
    </row>
    <row r="389">
      <c r="A389" s="13" t="inlineStr">
        <is>
          <t>4Q24</t>
        </is>
      </c>
      <c r="B389" s="13" t="inlineStr">
        <is>
          <t>cq_naic6</t>
        </is>
      </c>
      <c r="C389" s="13" t="n">
        <v>886</v>
      </c>
      <c r="D389" s="13" t="inlineStr">
        <is>
          <t>supplement</t>
        </is>
      </c>
    </row>
    <row r="390">
      <c r="A390" s="13" t="inlineStr">
        <is>
          <t>4Q24</t>
        </is>
      </c>
      <c r="B390" s="13" t="inlineStr">
        <is>
          <t>cq_nondesig_big</t>
        </is>
      </c>
      <c r="C390" s="13" t="n">
        <v>0</v>
      </c>
      <c r="D390" s="13" t="inlineStr">
        <is>
          <t>supplement</t>
        </is>
      </c>
    </row>
    <row r="391">
      <c r="A391" s="13" t="inlineStr">
        <is>
          <t>4Q24</t>
        </is>
      </c>
      <c r="B391" s="13" t="inlineStr">
        <is>
          <t>cq_nondesig_ig</t>
        </is>
      </c>
      <c r="C391" s="13" t="n">
        <v>446</v>
      </c>
      <c r="D391" s="13" t="inlineStr">
        <is>
          <t>supplement</t>
        </is>
      </c>
    </row>
    <row r="392">
      <c r="A392" s="13" t="inlineStr">
        <is>
          <t>4Q24</t>
        </is>
      </c>
      <c r="B392" s="13" t="inlineStr">
        <is>
          <t>cq_total_big</t>
        </is>
      </c>
      <c r="C392" s="13" t="n">
        <v>5959</v>
      </c>
      <c r="D392" s="13" t="inlineStr">
        <is>
          <t>supplement</t>
        </is>
      </c>
    </row>
    <row r="393">
      <c r="A393" s="13" t="inlineStr">
        <is>
          <t>4Q24</t>
        </is>
      </c>
      <c r="B393" s="13" t="inlineStr">
        <is>
          <t>cq_total_desig</t>
        </is>
      </c>
      <c r="C393" s="13" t="n">
        <v>168080</v>
      </c>
      <c r="D393" s="13" t="inlineStr">
        <is>
          <t>supplement</t>
        </is>
      </c>
    </row>
    <row r="394">
      <c r="A394" s="13" t="inlineStr">
        <is>
          <t>4Q24</t>
        </is>
      </c>
      <c r="B394" s="13" t="inlineStr">
        <is>
          <t>cq_total_ig</t>
        </is>
      </c>
      <c r="C394" s="13" t="n">
        <v>162121</v>
      </c>
      <c r="D394" s="13" t="inlineStr">
        <is>
          <t>supplement</t>
        </is>
      </c>
    </row>
    <row r="395">
      <c r="A395" s="13" t="inlineStr">
        <is>
          <t>4Q24</t>
        </is>
      </c>
      <c r="B395" s="13" t="inlineStr">
        <is>
          <t>eq_ahl_total</t>
        </is>
      </c>
      <c r="C395" s="13" t="n">
        <v>16360</v>
      </c>
      <c r="D395" s="13" t="inlineStr">
        <is>
          <t>supplement</t>
        </is>
      </c>
    </row>
    <row r="396">
      <c r="A396" s="13" t="inlineStr">
        <is>
          <t>4Q24</t>
        </is>
      </c>
      <c r="B396" s="13" t="inlineStr">
        <is>
          <t>eq_aoci</t>
        </is>
      </c>
      <c r="C396" s="13" t="n">
        <v>-5465</v>
      </c>
      <c r="D396" s="13" t="inlineStr">
        <is>
          <t>supplement</t>
        </is>
      </c>
    </row>
    <row r="397">
      <c r="A397" s="13" t="inlineStr">
        <is>
          <t>4Q24</t>
        </is>
      </c>
      <c r="B397" s="13" t="inlineStr">
        <is>
          <t>eq_apic</t>
        </is>
      </c>
      <c r="C397" s="13" t="n">
        <v>19588</v>
      </c>
      <c r="D397" s="13" t="inlineStr">
        <is>
          <t>supplement</t>
        </is>
      </c>
    </row>
    <row r="398">
      <c r="A398" s="13" t="inlineStr">
        <is>
          <t>4Q24</t>
        </is>
      </c>
      <c r="B398" s="13" t="inlineStr">
        <is>
          <t>eq_nci</t>
        </is>
      </c>
      <c r="C398" s="13" t="n">
        <v>9514</v>
      </c>
      <c r="D398" s="13" t="inlineStr">
        <is>
          <t>supplement</t>
        </is>
      </c>
    </row>
    <row r="399">
      <c r="A399" s="13" t="inlineStr">
        <is>
          <t>4Q24</t>
        </is>
      </c>
      <c r="B399" s="13" t="inlineStr">
        <is>
          <t>eq_re</t>
        </is>
      </c>
      <c r="C399" s="13" t="n">
        <v>2237</v>
      </c>
      <c r="D399" s="13" t="inlineStr">
        <is>
          <t>supplement</t>
        </is>
      </c>
    </row>
    <row r="400">
      <c r="A400" s="13" t="inlineStr">
        <is>
          <t>4Q24</t>
        </is>
      </c>
      <c r="B400" s="13" t="inlineStr">
        <is>
          <t>eq_total</t>
        </is>
      </c>
      <c r="C400" s="13" t="n">
        <v>25874</v>
      </c>
      <c r="D400" s="13" t="inlineStr">
        <is>
          <t>supplement</t>
        </is>
      </c>
    </row>
    <row r="401">
      <c r="A401" s="13" t="inlineStr">
        <is>
          <t>4Q24</t>
        </is>
      </c>
      <c r="B401" s="13" t="inlineStr">
        <is>
          <t>eq_total_le</t>
        </is>
      </c>
      <c r="C401" s="13" t="n">
        <v>363343</v>
      </c>
      <c r="D401" s="13" t="inlineStr">
        <is>
          <t>supplement</t>
        </is>
      </c>
    </row>
    <row r="402">
      <c r="A402" s="13" t="inlineStr">
        <is>
          <t>4Q24</t>
        </is>
      </c>
      <c r="B402" s="13" t="inlineStr">
        <is>
          <t>flow_reins</t>
        </is>
      </c>
      <c r="C402" s="13" t="n">
        <v>1029</v>
      </c>
      <c r="D402" s="13" t="inlineStr">
        <is>
          <t>supplement</t>
        </is>
      </c>
    </row>
    <row r="403">
      <c r="A403" s="13" t="inlineStr">
        <is>
          <t>4Q24</t>
        </is>
      </c>
      <c r="B403" s="13" t="inlineStr">
        <is>
          <t>funding_agreements</t>
        </is>
      </c>
      <c r="C403" s="13" t="n">
        <v>5167</v>
      </c>
      <c r="D403" s="13" t="inlineStr">
        <is>
          <t>supplement</t>
        </is>
      </c>
    </row>
    <row r="404">
      <c r="A404" s="13" t="inlineStr">
        <is>
          <t>4Q24</t>
        </is>
      </c>
      <c r="B404" s="13" t="inlineStr">
        <is>
          <t>gaap_dac</t>
        </is>
      </c>
      <c r="C404" s="13" t="n">
        <v>263</v>
      </c>
      <c r="D404" s="13" t="inlineStr">
        <is>
          <t>supplement</t>
        </is>
      </c>
    </row>
    <row r="405">
      <c r="A405" s="13" t="inlineStr">
        <is>
          <t>4Q24</t>
        </is>
      </c>
      <c r="B405" s="13" t="inlineStr">
        <is>
          <t>gaap_fpb</t>
        </is>
      </c>
      <c r="C405" s="13" t="n">
        <v>623</v>
      </c>
      <c r="D405" s="13" t="inlineStr">
        <is>
          <t>supplement</t>
        </is>
      </c>
    </row>
    <row r="406">
      <c r="A406" s="13" t="inlineStr">
        <is>
          <t>4Q24</t>
        </is>
      </c>
      <c r="B406" s="13" t="inlineStr">
        <is>
          <t>gaap_inv_gl</t>
        </is>
      </c>
      <c r="C406" s="13" t="n">
        <v>-1037</v>
      </c>
      <c r="D406" s="13" t="inlineStr">
        <is>
          <t>supplement</t>
        </is>
      </c>
    </row>
    <row r="407">
      <c r="A407" s="13" t="inlineStr">
        <is>
          <t>4Q24</t>
        </is>
      </c>
      <c r="B407" s="13" t="inlineStr">
        <is>
          <t>gaap_iscb</t>
        </is>
      </c>
      <c r="C407" s="13" t="n">
        <v>1642</v>
      </c>
      <c r="D407" s="13" t="inlineStr">
        <is>
          <t>supplement</t>
        </is>
      </c>
    </row>
    <row r="408">
      <c r="A408" s="13" t="inlineStr">
        <is>
          <t>4Q24</t>
        </is>
      </c>
      <c r="B408" s="13" t="inlineStr">
        <is>
          <t>gaap_mrb</t>
        </is>
      </c>
      <c r="C408" s="13" t="n">
        <v>-456</v>
      </c>
      <c r="D408" s="13" t="inlineStr">
        <is>
          <t>supplement</t>
        </is>
      </c>
    </row>
    <row r="409">
      <c r="A409" s="13" t="inlineStr">
        <is>
          <t>4Q24</t>
        </is>
      </c>
      <c r="B409" s="13" t="inlineStr">
        <is>
          <t>gaap_ni</t>
        </is>
      </c>
      <c r="C409" s="13" t="n">
        <v>1079</v>
      </c>
      <c r="D409" s="13" t="inlineStr">
        <is>
          <t>supplement</t>
        </is>
      </c>
    </row>
    <row r="410">
      <c r="A410" s="13" t="inlineStr">
        <is>
          <t>4Q24</t>
        </is>
      </c>
      <c r="B410" s="13" t="inlineStr">
        <is>
          <t>gaap_ni_ahl</t>
        </is>
      </c>
      <c r="C410" s="13" t="n">
        <v>1015</v>
      </c>
      <c r="D410" s="13" t="inlineStr">
        <is>
          <t>supplement</t>
        </is>
      </c>
    </row>
    <row r="411">
      <c r="A411" s="13" t="inlineStr">
        <is>
          <t>4Q24</t>
        </is>
      </c>
      <c r="B411" s="13" t="inlineStr">
        <is>
          <t>gaap_ni_common</t>
        </is>
      </c>
      <c r="C411" s="13" t="n">
        <v>970</v>
      </c>
      <c r="D411" s="13" t="inlineStr">
        <is>
          <t>supplement</t>
        </is>
      </c>
    </row>
    <row r="412">
      <c r="A412" s="13" t="inlineStr">
        <is>
          <t>4Q24</t>
        </is>
      </c>
      <c r="B412" s="13" t="inlineStr">
        <is>
          <t>gaap_ni_nci</t>
        </is>
      </c>
      <c r="C412" s="13" t="n">
        <v>64</v>
      </c>
      <c r="D412" s="13" t="inlineStr">
        <is>
          <t>supplement</t>
        </is>
      </c>
    </row>
    <row r="413">
      <c r="A413" s="13" t="inlineStr">
        <is>
          <t>4Q24</t>
        </is>
      </c>
      <c r="B413" s="13" t="inlineStr">
        <is>
          <t>gaap_nii</t>
        </is>
      </c>
      <c r="C413" s="13" t="n">
        <v>3903</v>
      </c>
      <c r="D413" s="13" t="inlineStr">
        <is>
          <t>supplement</t>
        </is>
      </c>
    </row>
    <row r="414">
      <c r="A414" s="13" t="inlineStr">
        <is>
          <t>4Q24</t>
        </is>
      </c>
      <c r="B414" s="13" t="inlineStr">
        <is>
          <t>gaap_opex</t>
        </is>
      </c>
      <c r="C414" s="13" t="n">
        <v>560</v>
      </c>
      <c r="D414" s="13" t="inlineStr">
        <is>
          <t>supplement</t>
        </is>
      </c>
    </row>
    <row r="415">
      <c r="A415" s="13" t="inlineStr">
        <is>
          <t>4Q24</t>
        </is>
      </c>
      <c r="B415" s="13" t="inlineStr">
        <is>
          <t>gaap_other_rev</t>
        </is>
      </c>
      <c r="C415" s="13" t="n">
        <v>10</v>
      </c>
      <c r="D415" s="13" t="inlineStr">
        <is>
          <t>supplement</t>
        </is>
      </c>
    </row>
    <row r="416">
      <c r="A416" s="13" t="inlineStr">
        <is>
          <t>4Q24</t>
        </is>
      </c>
      <c r="B416" s="13" t="inlineStr">
        <is>
          <t>gaap_pref</t>
        </is>
      </c>
      <c r="C416" s="13" t="n">
        <v>45</v>
      </c>
      <c r="D416" s="13" t="inlineStr">
        <is>
          <t>supplement</t>
        </is>
      </c>
    </row>
    <row r="417">
      <c r="A417" s="13" t="inlineStr">
        <is>
          <t>4Q24</t>
        </is>
      </c>
      <c r="B417" s="13" t="inlineStr">
        <is>
          <t>gaap_pref_red</t>
        </is>
      </c>
      <c r="C417" s="13" t="n">
        <v>0</v>
      </c>
      <c r="D417" s="13" t="inlineStr">
        <is>
          <t>supplement</t>
        </is>
      </c>
    </row>
    <row r="418">
      <c r="A418" s="13" t="inlineStr">
        <is>
          <t>4Q24</t>
        </is>
      </c>
      <c r="B418" s="13" t="inlineStr">
        <is>
          <t>gaap_premiums</t>
        </is>
      </c>
      <c r="C418" s="13" t="n">
        <v>155</v>
      </c>
      <c r="D418" s="13" t="inlineStr">
        <is>
          <t>supplement</t>
        </is>
      </c>
    </row>
    <row r="419">
      <c r="A419" s="13" t="inlineStr">
        <is>
          <t>4Q24</t>
        </is>
      </c>
      <c r="B419" s="13" t="inlineStr">
        <is>
          <t>gaap_pretax</t>
        </is>
      </c>
      <c r="C419" s="13" t="n">
        <v>1150</v>
      </c>
      <c r="D419" s="13" t="inlineStr">
        <is>
          <t>supplement</t>
        </is>
      </c>
    </row>
    <row r="420">
      <c r="A420" s="13" t="inlineStr">
        <is>
          <t>4Q24</t>
        </is>
      </c>
      <c r="B420" s="13" t="inlineStr">
        <is>
          <t>gaap_product_charges</t>
        </is>
      </c>
      <c r="C420" s="13" t="n">
        <v>260</v>
      </c>
      <c r="D420" s="13" t="inlineStr">
        <is>
          <t>supplement</t>
        </is>
      </c>
    </row>
    <row r="421">
      <c r="A421" s="13" t="inlineStr">
        <is>
          <t>4Q24</t>
        </is>
      </c>
      <c r="B421" s="13" t="inlineStr">
        <is>
          <t>gaap_tax</t>
        </is>
      </c>
      <c r="C421" s="13" t="n">
        <v>71</v>
      </c>
      <c r="D421" s="13" t="inlineStr">
        <is>
          <t>supplement</t>
        </is>
      </c>
    </row>
    <row r="422">
      <c r="A422" s="13" t="inlineStr">
        <is>
          <t>4Q24</t>
        </is>
      </c>
      <c r="B422" s="13" t="inlineStr">
        <is>
          <t>gaap_total_be</t>
        </is>
      </c>
      <c r="C422" s="13" t="n">
        <v>2632</v>
      </c>
      <c r="D422" s="13" t="inlineStr">
        <is>
          <t>supplement</t>
        </is>
      </c>
    </row>
    <row r="423">
      <c r="A423" s="13" t="inlineStr">
        <is>
          <t>4Q24</t>
        </is>
      </c>
      <c r="B423" s="13" t="inlineStr">
        <is>
          <t>gaap_total_rev</t>
        </is>
      </c>
      <c r="C423" s="13" t="n">
        <v>3782</v>
      </c>
      <c r="D423" s="13" t="inlineStr">
        <is>
          <t>supplement</t>
        </is>
      </c>
    </row>
    <row r="424">
      <c r="A424" s="13" t="inlineStr">
        <is>
          <t>4Q24</t>
        </is>
      </c>
      <c r="B424" s="13" t="inlineStr">
        <is>
          <t>gaap_vie_gl</t>
        </is>
      </c>
      <c r="C424" s="13" t="n">
        <v>419</v>
      </c>
      <c r="D424" s="13" t="inlineStr">
        <is>
          <t>supplement</t>
        </is>
      </c>
    </row>
    <row r="425">
      <c r="A425" s="13" t="inlineStr">
        <is>
          <t>4Q24</t>
        </is>
      </c>
      <c r="B425" s="13" t="inlineStr">
        <is>
          <t>gaap_vie_nii</t>
        </is>
      </c>
      <c r="C425" s="13" t="n">
        <v>72</v>
      </c>
      <c r="D425" s="13" t="inlineStr">
        <is>
          <t>supplement</t>
        </is>
      </c>
    </row>
    <row r="426">
      <c r="A426" s="13" t="inlineStr">
        <is>
          <t>4Q24</t>
        </is>
      </c>
      <c r="B426" s="13" t="inlineStr">
        <is>
          <t>gross_inorganic</t>
        </is>
      </c>
      <c r="C426" s="13" t="n">
        <v>0</v>
      </c>
      <c r="D426" s="13" t="inlineStr">
        <is>
          <t>supplement</t>
        </is>
      </c>
    </row>
    <row r="427">
      <c r="A427" s="13" t="inlineStr">
        <is>
          <t>4Q24</t>
        </is>
      </c>
      <c r="B427" s="13" t="inlineStr">
        <is>
          <t>gross_organic</t>
        </is>
      </c>
      <c r="C427" s="13" t="n">
        <v>14197</v>
      </c>
      <c r="D427" s="13" t="inlineStr">
        <is>
          <t>supplement</t>
        </is>
      </c>
    </row>
    <row r="428">
      <c r="A428" s="13" t="inlineStr">
        <is>
          <t>4Q24</t>
        </is>
      </c>
      <c r="B428" s="13" t="inlineStr">
        <is>
          <t>gross_outflows</t>
        </is>
      </c>
      <c r="C428" s="13" t="n">
        <v>-7136</v>
      </c>
      <c r="D428" s="13" t="inlineStr">
        <is>
          <t>supplement</t>
        </is>
      </c>
    </row>
    <row r="429">
      <c r="A429" s="13" t="inlineStr">
        <is>
          <t>4Q24</t>
        </is>
      </c>
      <c r="B429" s="13" t="inlineStr">
        <is>
          <t>inflows_adip</t>
        </is>
      </c>
      <c r="C429" s="13" t="n">
        <v>4343</v>
      </c>
      <c r="D429" s="13" t="inlineStr">
        <is>
          <t>supplement</t>
        </is>
      </c>
    </row>
    <row r="430">
      <c r="A430" s="13" t="inlineStr">
        <is>
          <t>4Q24</t>
        </is>
      </c>
      <c r="B430" s="13" t="inlineStr">
        <is>
          <t>inflows_athene</t>
        </is>
      </c>
      <c r="C430" s="13" t="n">
        <v>8948</v>
      </c>
      <c r="D430" s="13" t="inlineStr">
        <is>
          <t>supplement</t>
        </is>
      </c>
    </row>
    <row r="431">
      <c r="A431" s="13" t="inlineStr">
        <is>
          <t>4Q24</t>
        </is>
      </c>
      <c r="B431" s="13" t="inlineStr">
        <is>
          <t>inflows_ceded_3p</t>
        </is>
      </c>
      <c r="C431" s="13" t="n">
        <v>906</v>
      </c>
      <c r="D431" s="13" t="inlineStr">
        <is>
          <t>supplement</t>
        </is>
      </c>
    </row>
    <row r="432">
      <c r="A432" s="13" t="inlineStr">
        <is>
          <t>4Q24</t>
        </is>
      </c>
      <c r="B432" s="13" t="inlineStr">
        <is>
          <t>net_flows</t>
        </is>
      </c>
      <c r="C432" s="13" t="n">
        <v>7061</v>
      </c>
      <c r="D432" s="13" t="inlineStr">
        <is>
          <t>supplement</t>
        </is>
      </c>
    </row>
    <row r="433">
      <c r="A433" s="13" t="inlineStr">
        <is>
          <t>4Q24</t>
        </is>
      </c>
      <c r="B433" s="13" t="inlineStr">
        <is>
          <t>nia_abs</t>
        </is>
      </c>
      <c r="C433" s="13" t="n">
        <v>28670</v>
      </c>
      <c r="D433" s="13" t="inlineStr">
        <is>
          <t>supplement</t>
        </is>
      </c>
    </row>
    <row r="434">
      <c r="A434" s="13" t="inlineStr">
        <is>
          <t>4Q24</t>
        </is>
      </c>
      <c r="B434" s="13" t="inlineStr">
        <is>
          <t>nia_alts</t>
        </is>
      </c>
      <c r="C434" s="13" t="n">
        <v>12000</v>
      </c>
      <c r="D434" s="13" t="inlineStr">
        <is>
          <t>supplement</t>
        </is>
      </c>
    </row>
    <row r="435">
      <c r="A435" s="13" t="inlineStr">
        <is>
          <t>4Q24</t>
        </is>
      </c>
      <c r="B435" s="13" t="inlineStr">
        <is>
          <t>nia_cash</t>
        </is>
      </c>
      <c r="C435" s="13" t="n">
        <v>6794</v>
      </c>
      <c r="D435" s="13" t="inlineStr">
        <is>
          <t>supplement</t>
        </is>
      </c>
    </row>
    <row r="436">
      <c r="A436" s="13" t="inlineStr">
        <is>
          <t>4Q24</t>
        </is>
      </c>
      <c r="B436" s="13" t="inlineStr">
        <is>
          <t>nia_clo</t>
        </is>
      </c>
      <c r="C436" s="13" t="n">
        <v>27698</v>
      </c>
      <c r="D436" s="13" t="inlineStr">
        <is>
          <t>supplement</t>
        </is>
      </c>
    </row>
    <row r="437">
      <c r="A437" s="13" t="inlineStr">
        <is>
          <t>4Q24</t>
        </is>
      </c>
      <c r="B437" s="13" t="inlineStr">
        <is>
          <t>nia_cmbs</t>
        </is>
      </c>
      <c r="C437" s="13" t="n">
        <v>8243</v>
      </c>
      <c r="D437" s="13" t="inlineStr">
        <is>
          <t>supplement</t>
        </is>
      </c>
    </row>
    <row r="438">
      <c r="A438" s="13" t="inlineStr">
        <is>
          <t>4Q24</t>
        </is>
      </c>
      <c r="B438" s="13" t="inlineStr">
        <is>
          <t>nia_cml</t>
        </is>
      </c>
      <c r="C438" s="13" t="n">
        <v>28055</v>
      </c>
      <c r="D438" s="13" t="inlineStr">
        <is>
          <t>supplement</t>
        </is>
      </c>
    </row>
    <row r="439">
      <c r="A439" s="13" t="inlineStr">
        <is>
          <t>4Q24</t>
        </is>
      </c>
      <c r="B439" s="13" t="inlineStr">
        <is>
          <t>nia_corporate</t>
        </is>
      </c>
      <c r="C439" s="13" t="n">
        <v>86051</v>
      </c>
      <c r="D439" s="13" t="inlineStr">
        <is>
          <t>supplement</t>
        </is>
      </c>
    </row>
    <row r="440">
      <c r="A440" s="13" t="inlineStr">
        <is>
          <t>4Q24</t>
        </is>
      </c>
      <c r="B440" s="13" t="inlineStr">
        <is>
          <t>nia_credit_sub</t>
        </is>
      </c>
      <c r="C440" s="13" t="n">
        <v>113749</v>
      </c>
      <c r="D440" s="13" t="inlineStr">
        <is>
          <t>supplement</t>
        </is>
      </c>
    </row>
    <row r="441">
      <c r="A441" s="13" t="inlineStr">
        <is>
          <t>4Q24</t>
        </is>
      </c>
      <c r="B441" s="13" t="inlineStr">
        <is>
          <t>nia_equity_sec</t>
        </is>
      </c>
      <c r="C441" s="13" t="n">
        <v>2201</v>
      </c>
      <c r="D441" s="13" t="inlineStr">
        <is>
          <t>supplement</t>
        </is>
      </c>
    </row>
    <row r="442">
      <c r="A442" s="13" t="inlineStr">
        <is>
          <t>4Q24</t>
        </is>
      </c>
      <c r="B442" s="13" t="inlineStr">
        <is>
          <t>nia_munis_foreign</t>
        </is>
      </c>
      <c r="C442" s="13" t="n">
        <v>3237</v>
      </c>
      <c r="D442" s="13" t="inlineStr">
        <is>
          <t>supplement</t>
        </is>
      </c>
    </row>
    <row r="443">
      <c r="A443" s="13" t="inlineStr">
        <is>
          <t>4Q24</t>
        </is>
      </c>
      <c r="B443" s="13" t="inlineStr">
        <is>
          <t>nia_other</t>
        </is>
      </c>
      <c r="C443" s="13" t="n">
        <v>3665</v>
      </c>
      <c r="D443" s="13" t="inlineStr">
        <is>
          <t>supplement</t>
        </is>
      </c>
    </row>
    <row r="444">
      <c r="A444" s="13" t="inlineStr">
        <is>
          <t>4Q24</t>
        </is>
      </c>
      <c r="B444" s="13" t="inlineStr">
        <is>
          <t>nia_other_inv_sub</t>
        </is>
      </c>
      <c r="C444" s="13" t="n">
        <v>52654</v>
      </c>
      <c r="D444" s="13" t="inlineStr">
        <is>
          <t>supplement</t>
        </is>
      </c>
    </row>
    <row r="445">
      <c r="A445" s="13" t="inlineStr">
        <is>
          <t>4Q24</t>
        </is>
      </c>
      <c r="B445" s="13" t="inlineStr">
        <is>
          <t>nia_real_estate_sub</t>
        </is>
      </c>
      <c r="C445" s="13" t="n">
        <v>71781</v>
      </c>
      <c r="D445" s="13" t="inlineStr">
        <is>
          <t>supplement</t>
        </is>
      </c>
    </row>
    <row r="446">
      <c r="A446" s="13" t="inlineStr">
        <is>
          <t>4Q24</t>
        </is>
      </c>
      <c r="B446" s="13" t="inlineStr">
        <is>
          <t>nia_rmbs</t>
        </is>
      </c>
      <c r="C446" s="13" t="n">
        <v>7635</v>
      </c>
      <c r="D446" s="13" t="inlineStr">
        <is>
          <t>supplement</t>
        </is>
      </c>
    </row>
    <row r="447">
      <c r="A447" s="13" t="inlineStr">
        <is>
          <t>4Q24</t>
        </is>
      </c>
      <c r="B447" s="13" t="inlineStr">
        <is>
          <t>nia_rml</t>
        </is>
      </c>
      <c r="C447" s="13" t="n">
        <v>27848</v>
      </c>
      <c r="D447" s="13" t="inlineStr">
        <is>
          <t>supplement</t>
        </is>
      </c>
    </row>
    <row r="448">
      <c r="A448" s="13" t="inlineStr">
        <is>
          <t>4Q24</t>
        </is>
      </c>
      <c r="B448" s="13" t="inlineStr">
        <is>
          <t>nia_short_term</t>
        </is>
      </c>
      <c r="C448" s="13" t="n">
        <v>1015</v>
      </c>
      <c r="D448" s="13" t="inlineStr">
        <is>
          <t>supplement</t>
        </is>
      </c>
    </row>
    <row r="449">
      <c r="A449" s="13" t="inlineStr">
        <is>
          <t>4Q24</t>
        </is>
      </c>
      <c r="B449" s="13" t="inlineStr">
        <is>
          <t>nia_total</t>
        </is>
      </c>
      <c r="C449" s="13" t="n">
        <v>248643</v>
      </c>
      <c r="D449" s="13" t="inlineStr">
        <is>
          <t>supplement</t>
        </is>
      </c>
    </row>
    <row r="450">
      <c r="A450" s="13" t="inlineStr">
        <is>
          <t>4Q24</t>
        </is>
      </c>
      <c r="B450" s="13" t="inlineStr">
        <is>
          <t>nia_us_gov</t>
        </is>
      </c>
      <c r="C450" s="13" t="n">
        <v>5531</v>
      </c>
      <c r="D450" s="13" t="inlineStr">
        <is>
          <t>supplement</t>
        </is>
      </c>
    </row>
    <row r="451">
      <c r="A451" s="13" t="inlineStr">
        <is>
          <t>4Q24</t>
        </is>
      </c>
      <c r="B451" s="13" t="inlineStr">
        <is>
          <t>nrl_begin</t>
        </is>
      </c>
      <c r="C451" s="13" t="n">
        <v>225899</v>
      </c>
      <c r="D451" s="13" t="inlineStr">
        <is>
          <t>supplement</t>
        </is>
      </c>
    </row>
    <row r="452">
      <c r="A452" s="13" t="inlineStr">
        <is>
          <t>4Q24</t>
        </is>
      </c>
      <c r="B452" s="13" t="inlineStr">
        <is>
          <t>nrl_deferred_total</t>
        </is>
      </c>
      <c r="C452" s="13" t="n">
        <v>145416</v>
      </c>
      <c r="D452" s="13" t="inlineStr">
        <is>
          <t>supplement</t>
        </is>
      </c>
    </row>
    <row r="453">
      <c r="A453" s="13" t="inlineStr">
        <is>
          <t>4Q24</t>
        </is>
      </c>
      <c r="B453" s="13" t="inlineStr">
        <is>
          <t>nrl_end</t>
        </is>
      </c>
      <c r="C453" s="13" t="n">
        <v>225926</v>
      </c>
      <c r="D453" s="13" t="inlineStr">
        <is>
          <t>supplement</t>
        </is>
      </c>
    </row>
    <row r="454">
      <c r="A454" s="13" t="inlineStr">
        <is>
          <t>4Q24</t>
        </is>
      </c>
      <c r="B454" s="13" t="inlineStr">
        <is>
          <t>nrl_fa</t>
        </is>
      </c>
      <c r="C454" s="13" t="n">
        <v>47384</v>
      </c>
      <c r="D454" s="13" t="inlineStr">
        <is>
          <t>supplement</t>
        </is>
      </c>
    </row>
    <row r="455">
      <c r="A455" s="13" t="inlineStr">
        <is>
          <t>4Q24</t>
        </is>
      </c>
      <c r="B455" s="13" t="inlineStr">
        <is>
          <t>nrl_fixed</t>
        </is>
      </c>
      <c r="C455" s="13" t="n">
        <v>62705</v>
      </c>
      <c r="D455" s="13" t="inlineStr">
        <is>
          <t>supplement</t>
        </is>
      </c>
    </row>
    <row r="456">
      <c r="A456" s="13" t="inlineStr">
        <is>
          <t>4Q24</t>
        </is>
      </c>
      <c r="B456" s="13" t="inlineStr">
        <is>
          <t>nrl_indexed</t>
        </is>
      </c>
      <c r="C456" s="13" t="n">
        <v>82711</v>
      </c>
      <c r="D456" s="13" t="inlineStr">
        <is>
          <t>supplement</t>
        </is>
      </c>
    </row>
    <row r="457">
      <c r="A457" s="13" t="inlineStr">
        <is>
          <t>4Q24</t>
        </is>
      </c>
      <c r="B457" s="13" t="inlineStr">
        <is>
          <t>nrl_life_other</t>
        </is>
      </c>
      <c r="C457" s="13" t="n">
        <v>3439</v>
      </c>
      <c r="D457" s="13" t="inlineStr">
        <is>
          <t>supplement</t>
        </is>
      </c>
    </row>
    <row r="458">
      <c r="A458" s="13" t="inlineStr">
        <is>
          <t>4Q24</t>
        </is>
      </c>
      <c r="B458" s="13" t="inlineStr">
        <is>
          <t>nrl_payout</t>
        </is>
      </c>
      <c r="C458" s="13" t="n">
        <v>4701</v>
      </c>
      <c r="D458" s="13" t="inlineStr">
        <is>
          <t>supplement</t>
        </is>
      </c>
    </row>
    <row r="459">
      <c r="A459" s="13" t="inlineStr">
        <is>
          <t>4Q24</t>
        </is>
      </c>
      <c r="B459" s="13" t="inlineStr">
        <is>
          <t>nrl_pga</t>
        </is>
      </c>
      <c r="C459" s="13" t="n">
        <v>24986</v>
      </c>
      <c r="D459" s="13" t="inlineStr">
        <is>
          <t>supplement</t>
        </is>
      </c>
    </row>
    <row r="460">
      <c r="A460" s="13" t="inlineStr">
        <is>
          <t>4Q24</t>
        </is>
      </c>
      <c r="B460" s="13" t="inlineStr">
        <is>
          <t>nrl_total</t>
        </is>
      </c>
      <c r="C460" s="13" t="n">
        <v>225926</v>
      </c>
      <c r="D460" s="13" t="inlineStr">
        <is>
          <t>supplement</t>
        </is>
      </c>
    </row>
    <row r="461">
      <c r="A461" s="13" t="inlineStr">
        <is>
          <t>4Q24</t>
        </is>
      </c>
      <c r="B461" s="13" t="inlineStr">
        <is>
          <t>other_spread</t>
        </is>
      </c>
      <c r="C461" s="13" t="n">
        <v>0</v>
      </c>
      <c r="D461" s="13" t="inlineStr">
        <is>
          <t>supplement</t>
        </is>
      </c>
    </row>
    <row r="462">
      <c r="A462" s="13" t="inlineStr">
        <is>
          <t>4Q24</t>
        </is>
      </c>
      <c r="B462" s="13" t="inlineStr">
        <is>
          <t>outflow_income_planned</t>
        </is>
      </c>
      <c r="C462" s="13" t="n">
        <v>-1661</v>
      </c>
      <c r="D462" s="13" t="inlineStr">
        <is>
          <t>supplement</t>
        </is>
      </c>
    </row>
    <row r="463">
      <c r="A463" s="13" t="inlineStr">
        <is>
          <t>4Q24</t>
        </is>
      </c>
      <c r="B463" s="13" t="inlineStr">
        <is>
          <t>outflow_isc_unplanned</t>
        </is>
      </c>
      <c r="C463" s="13" t="n">
        <v>-738</v>
      </c>
      <c r="D463" s="13" t="inlineStr">
        <is>
          <t>supplement</t>
        </is>
      </c>
    </row>
    <row r="464">
      <c r="A464" s="13" t="inlineStr">
        <is>
          <t>4Q24</t>
        </is>
      </c>
      <c r="B464" s="13" t="inlineStr">
        <is>
          <t>outflow_maturity_driven</t>
        </is>
      </c>
      <c r="C464" s="13" t="n">
        <v>-2167</v>
      </c>
      <c r="D464" s="13" t="inlineStr">
        <is>
          <t>supplement</t>
        </is>
      </c>
    </row>
    <row r="465">
      <c r="A465" s="13" t="inlineStr">
        <is>
          <t>4Q24</t>
        </is>
      </c>
      <c r="B465" s="13" t="inlineStr">
        <is>
          <t>outflow_oosc_planned</t>
        </is>
      </c>
      <c r="C465" s="13" t="n">
        <v>-1131</v>
      </c>
      <c r="D465" s="13" t="inlineStr">
        <is>
          <t>supplement</t>
        </is>
      </c>
    </row>
    <row r="466">
      <c r="A466" s="13" t="inlineStr">
        <is>
          <t>4Q24</t>
        </is>
      </c>
      <c r="B466" s="13" t="inlineStr">
        <is>
          <t>outflow_policyholder</t>
        </is>
      </c>
      <c r="C466" s="13" t="n">
        <v>-3530</v>
      </c>
      <c r="D466" s="13" t="inlineStr">
        <is>
          <t>supplement</t>
        </is>
      </c>
    </row>
    <row r="467">
      <c r="A467" s="13" t="inlineStr">
        <is>
          <t>4Q24</t>
        </is>
      </c>
      <c r="B467" s="13" t="inlineStr">
        <is>
          <t>outflows_adip</t>
        </is>
      </c>
      <c r="C467" s="13" t="n">
        <v>-1439</v>
      </c>
      <c r="D467" s="13" t="inlineStr">
        <is>
          <t>supplement</t>
        </is>
      </c>
    </row>
    <row r="468">
      <c r="A468" s="13" t="inlineStr">
        <is>
          <t>4Q24</t>
        </is>
      </c>
      <c r="B468" s="13" t="inlineStr">
        <is>
          <t>outflows_athene</t>
        </is>
      </c>
      <c r="C468" s="13" t="n">
        <v>-5697</v>
      </c>
      <c r="D468" s="13" t="inlineStr">
        <is>
          <t>supplement</t>
        </is>
      </c>
    </row>
    <row r="469">
      <c r="A469" s="13" t="inlineStr">
        <is>
          <t>4Q24</t>
        </is>
      </c>
      <c r="B469" s="13" t="inlineStr">
        <is>
          <t>pga</t>
        </is>
      </c>
      <c r="C469" s="13" t="n">
        <v>47</v>
      </c>
      <c r="D469" s="13" t="inlineStr">
        <is>
          <t>supplement</t>
        </is>
      </c>
    </row>
    <row r="470">
      <c r="A470" s="13" t="inlineStr">
        <is>
          <t>4Q24</t>
        </is>
      </c>
      <c r="B470" s="13" t="inlineStr">
        <is>
          <t>retail</t>
        </is>
      </c>
      <c r="C470" s="13" t="n">
        <v>7954</v>
      </c>
      <c r="D470" s="13" t="inlineStr">
        <is>
          <t>supplement</t>
        </is>
      </c>
    </row>
    <row r="471">
      <c r="A471" s="13" t="inlineStr">
        <is>
          <t>4Q24</t>
        </is>
      </c>
      <c r="B471" s="13" t="inlineStr">
        <is>
          <t>roll_acra_nci</t>
        </is>
      </c>
      <c r="C471" s="13" t="n">
        <v>-4418</v>
      </c>
      <c r="D471" s="13" t="inlineStr">
        <is>
          <t>supplement</t>
        </is>
      </c>
    </row>
    <row r="472">
      <c r="A472" s="13" t="inlineStr">
        <is>
          <t>4Q24</t>
        </is>
      </c>
      <c r="B472" s="13" t="inlineStr">
        <is>
          <t>roll_acra_own</t>
        </is>
      </c>
      <c r="C472" s="13" t="n">
        <v>-1774</v>
      </c>
      <c r="D472" s="13" t="inlineStr">
        <is>
          <t>supplement</t>
        </is>
      </c>
    </row>
    <row r="473">
      <c r="A473" s="13" t="inlineStr">
        <is>
          <t>4Q24</t>
        </is>
      </c>
      <c r="B473" s="13" t="inlineStr">
        <is>
          <t>roll_block</t>
        </is>
      </c>
      <c r="C473" s="13" t="n">
        <v>0</v>
      </c>
      <c r="D473" s="13" t="inlineStr">
        <is>
          <t>supplement</t>
        </is>
      </c>
    </row>
    <row r="474">
      <c r="A474" s="13" t="inlineStr">
        <is>
          <t>4Q24</t>
        </is>
      </c>
      <c r="B474" s="13" t="inlineStr">
        <is>
          <t>roll_ceded_3p</t>
        </is>
      </c>
      <c r="C474" s="13" t="n">
        <v>-921</v>
      </c>
      <c r="D474" s="13" t="inlineStr">
        <is>
          <t>supplement</t>
        </is>
      </c>
    </row>
    <row r="475">
      <c r="A475" s="13" t="inlineStr">
        <is>
          <t>4Q24</t>
        </is>
      </c>
      <c r="B475" s="13" t="inlineStr">
        <is>
          <t>roll_gross_inflows</t>
        </is>
      </c>
      <c r="C475" s="13" t="n">
        <v>14465</v>
      </c>
      <c r="D475" s="13" t="inlineStr">
        <is>
          <t>supplement</t>
        </is>
      </c>
    </row>
    <row r="476">
      <c r="A476" s="13" t="inlineStr">
        <is>
          <t>4Q24</t>
        </is>
      </c>
      <c r="B476" s="13" t="inlineStr">
        <is>
          <t>roll_net_inflows</t>
        </is>
      </c>
      <c r="C476" s="13" t="n">
        <v>9126</v>
      </c>
      <c r="D476" s="13" t="inlineStr">
        <is>
          <t>supplement</t>
        </is>
      </c>
    </row>
    <row r="477">
      <c r="A477" s="13" t="inlineStr">
        <is>
          <t>4Q24</t>
        </is>
      </c>
      <c r="B477" s="13" t="inlineStr">
        <is>
          <t>roll_net_withdrawals</t>
        </is>
      </c>
      <c r="C477" s="13" t="n">
        <v>-5697</v>
      </c>
      <c r="D477" s="13" t="inlineStr">
        <is>
          <t>supplement</t>
        </is>
      </c>
    </row>
    <row r="478">
      <c r="A478" s="13" t="inlineStr">
        <is>
          <t>4Q24</t>
        </is>
      </c>
      <c r="B478" s="13" t="inlineStr">
        <is>
          <t>roll_other</t>
        </is>
      </c>
      <c r="C478" s="13" t="n">
        <v>-1628</v>
      </c>
      <c r="D478" s="13" t="inlineStr">
        <is>
          <t>supplement</t>
        </is>
      </c>
    </row>
    <row r="479">
      <c r="A479" s="13" t="inlineStr">
        <is>
          <t>4Q24</t>
        </is>
      </c>
      <c r="B479" s="13" t="inlineStr">
        <is>
          <t>sre</t>
        </is>
      </c>
      <c r="C479" s="13" t="n">
        <v>838</v>
      </c>
      <c r="D479" s="13" t="inlineStr">
        <is>
          <t>supplement</t>
        </is>
      </c>
    </row>
    <row r="480">
      <c r="A480" s="13" t="inlineStr">
        <is>
          <t>4Q24</t>
        </is>
      </c>
      <c r="B480" s="13" t="inlineStr">
        <is>
          <t>sre_alt_nii</t>
        </is>
      </c>
      <c r="C480" s="13" t="n">
        <v>269</v>
      </c>
      <c r="D480" s="13" t="inlineStr">
        <is>
          <t>supplement</t>
        </is>
      </c>
    </row>
    <row r="481">
      <c r="A481" s="13" t="inlineStr">
        <is>
          <t>4Q24</t>
        </is>
      </c>
      <c r="B481" s="13" t="inlineStr">
        <is>
          <t>sre_alt_nii_pct</t>
        </is>
      </c>
      <c r="C481" s="13" t="n">
        <v>9.25</v>
      </c>
      <c r="D481" s="13" t="inlineStr">
        <is>
          <t>supplement</t>
        </is>
      </c>
    </row>
    <row r="482">
      <c r="A482" s="13" t="inlineStr">
        <is>
          <t>4Q24</t>
        </is>
      </c>
      <c r="B482" s="13" t="inlineStr">
        <is>
          <t>sre_cof</t>
        </is>
      </c>
      <c r="C482" s="13" t="n">
        <v>-2116</v>
      </c>
      <c r="D482" s="13" t="inlineStr">
        <is>
          <t>supplement</t>
        </is>
      </c>
    </row>
    <row r="483">
      <c r="A483" s="13" t="inlineStr">
        <is>
          <t>4Q24</t>
        </is>
      </c>
      <c r="B483" s="13" t="inlineStr">
        <is>
          <t>sre_cof_pct</t>
        </is>
      </c>
      <c r="C483" s="13" t="n">
        <v>-3.46</v>
      </c>
      <c r="D483" s="13" t="inlineStr">
        <is>
          <t>supplement</t>
        </is>
      </c>
    </row>
    <row r="484">
      <c r="A484" s="13" t="inlineStr">
        <is>
          <t>4Q24</t>
        </is>
      </c>
      <c r="B484" s="13" t="inlineStr">
        <is>
          <t>sre_fees</t>
        </is>
      </c>
      <c r="C484" s="13" t="n">
        <v>29</v>
      </c>
      <c r="D484" s="13" t="inlineStr">
        <is>
          <t>supplement</t>
        </is>
      </c>
    </row>
    <row r="485">
      <c r="A485" s="13" t="inlineStr">
        <is>
          <t>4Q24</t>
        </is>
      </c>
      <c r="B485" s="13" t="inlineStr">
        <is>
          <t>sre_fees_pct</t>
        </is>
      </c>
      <c r="C485" s="13" t="n">
        <v>0.05</v>
      </c>
      <c r="D485" s="13" t="inlineStr">
        <is>
          <t>supplement</t>
        </is>
      </c>
    </row>
    <row r="486">
      <c r="A486" s="13" t="inlineStr">
        <is>
          <t>4Q24</t>
        </is>
      </c>
      <c r="B486" s="13" t="inlineStr">
        <is>
          <t>sre_fi_nii</t>
        </is>
      </c>
      <c r="C486" s="13" t="n">
        <v>2914</v>
      </c>
      <c r="D486" s="13" t="inlineStr">
        <is>
          <t>supplement</t>
        </is>
      </c>
    </row>
    <row r="487">
      <c r="A487" s="13" t="inlineStr">
        <is>
          <t>4Q24</t>
        </is>
      </c>
      <c r="B487" s="13" t="inlineStr">
        <is>
          <t>sre_fi_nii_pct</t>
        </is>
      </c>
      <c r="C487" s="13" t="n">
        <v>5</v>
      </c>
      <c r="D487" s="13" t="inlineStr">
        <is>
          <t>supplement</t>
        </is>
      </c>
    </row>
    <row r="488">
      <c r="A488" s="13" t="inlineStr">
        <is>
          <t>4Q24</t>
        </is>
      </c>
      <c r="B488" s="13" t="inlineStr">
        <is>
          <t>sre_fin</t>
        </is>
      </c>
      <c r="C488" s="13" t="n">
        <v>-137</v>
      </c>
      <c r="D488" s="13" t="inlineStr">
        <is>
          <t>supplement</t>
        </is>
      </c>
    </row>
    <row r="489">
      <c r="A489" s="13" t="inlineStr">
        <is>
          <t>4Q24</t>
        </is>
      </c>
      <c r="B489" s="13" t="inlineStr">
        <is>
          <t>sre_fin_pct</t>
        </is>
      </c>
      <c r="C489" s="13" t="n">
        <v>-0.22</v>
      </c>
      <c r="D489" s="13" t="inlineStr">
        <is>
          <t>supplement</t>
        </is>
      </c>
    </row>
    <row r="490">
      <c r="A490" s="13" t="inlineStr">
        <is>
          <t>4Q24</t>
        </is>
      </c>
      <c r="B490" s="13" t="inlineStr">
        <is>
          <t>sre_nie</t>
        </is>
      </c>
      <c r="C490" s="13" t="n">
        <v>3183</v>
      </c>
      <c r="D490" s="13" t="inlineStr">
        <is>
          <t>supplement</t>
        </is>
      </c>
    </row>
    <row r="491">
      <c r="A491" s="13" t="inlineStr">
        <is>
          <t>4Q24</t>
        </is>
      </c>
      <c r="B491" s="13" t="inlineStr">
        <is>
          <t>sre_nie_pct</t>
        </is>
      </c>
      <c r="C491" s="13" t="n">
        <v>5.2</v>
      </c>
      <c r="D491" s="13" t="inlineStr">
        <is>
          <t>supplement</t>
        </is>
      </c>
    </row>
    <row r="492">
      <c r="A492" s="13" t="inlineStr">
        <is>
          <t>4Q24</t>
        </is>
      </c>
      <c r="B492" s="13" t="inlineStr">
        <is>
          <t>sre_nis</t>
        </is>
      </c>
      <c r="C492" s="13" t="n">
        <v>1096</v>
      </c>
      <c r="D492" s="13" t="inlineStr">
        <is>
          <t>supplement</t>
        </is>
      </c>
    </row>
    <row r="493">
      <c r="A493" s="13" t="inlineStr">
        <is>
          <t>4Q24</t>
        </is>
      </c>
      <c r="B493" s="13" t="inlineStr">
        <is>
          <t>sre_nis_pct</t>
        </is>
      </c>
      <c r="C493" s="13" t="n">
        <v>1.79</v>
      </c>
      <c r="D493" s="13" t="inlineStr">
        <is>
          <t>supplement</t>
        </is>
      </c>
    </row>
    <row r="494">
      <c r="A494" s="13" t="inlineStr">
        <is>
          <t>4Q24</t>
        </is>
      </c>
      <c r="B494" s="13" t="inlineStr">
        <is>
          <t>sre_opex</t>
        </is>
      </c>
      <c r="C494" s="13" t="n">
        <v>-121</v>
      </c>
      <c r="D494" s="13" t="inlineStr">
        <is>
          <t>supplement</t>
        </is>
      </c>
    </row>
    <row r="495">
      <c r="A495" s="13" t="inlineStr">
        <is>
          <t>4Q24</t>
        </is>
      </c>
      <c r="B495" s="13" t="inlineStr">
        <is>
          <t>sre_opex_pct</t>
        </is>
      </c>
      <c r="C495" s="13" t="n">
        <v>-0.2</v>
      </c>
      <c r="D495" s="13" t="inlineStr">
        <is>
          <t>supplement</t>
        </is>
      </c>
    </row>
    <row r="496">
      <c r="A496" s="13" t="inlineStr">
        <is>
          <t>4Q24</t>
        </is>
      </c>
      <c r="B496" s="13" t="inlineStr">
        <is>
          <t>sre_pct</t>
        </is>
      </c>
      <c r="C496" s="13" t="n">
        <v>1.37</v>
      </c>
      <c r="D496" s="13" t="inlineStr">
        <is>
          <t>supplement</t>
        </is>
      </c>
    </row>
    <row r="497">
      <c r="A497" s="13" t="inlineStr">
        <is>
          <t>4Q24</t>
        </is>
      </c>
      <c r="B497" s="13" t="inlineStr">
        <is>
          <t>total_gross_inflows</t>
        </is>
      </c>
      <c r="C497" s="13" t="n">
        <v>14197</v>
      </c>
      <c r="D497" s="13" t="inlineStr">
        <is>
          <t>supplement</t>
        </is>
      </c>
    </row>
    <row r="498">
      <c r="A498" s="13" t="inlineStr">
        <is>
          <t>4Q24</t>
        </is>
      </c>
      <c r="B498" s="13" t="inlineStr">
        <is>
          <t>total_gross_inflows_check</t>
        </is>
      </c>
      <c r="C498" s="13" t="n">
        <v>14197</v>
      </c>
      <c r="D498" s="13" t="inlineStr">
        <is>
          <t>supplement</t>
        </is>
      </c>
    </row>
    <row r="499">
      <c r="A499" s="13" t="inlineStr">
        <is>
          <t>4Q24</t>
        </is>
      </c>
      <c r="B499" s="13" t="inlineStr">
        <is>
          <t>total_gross_outflows_check</t>
        </is>
      </c>
      <c r="C499" s="13" t="n">
        <v>-7136</v>
      </c>
      <c r="D499" s="13" t="inlineStr">
        <is>
          <t>supplement</t>
        </is>
      </c>
    </row>
    <row r="500">
      <c r="A500" s="13" t="inlineStr">
        <is>
          <t>4Q25</t>
        </is>
      </c>
      <c r="B500" s="13" t="inlineStr">
        <is>
          <t>acra_begin</t>
        </is>
      </c>
      <c r="C500" s="13" t="n">
        <v>86826</v>
      </c>
      <c r="D500" s="13" t="inlineStr">
        <is>
          <t>supplement</t>
        </is>
      </c>
    </row>
    <row r="501">
      <c r="A501" s="13" t="inlineStr">
        <is>
          <t>4Q25</t>
        </is>
      </c>
      <c r="B501" s="13" t="inlineStr">
        <is>
          <t>acra_end</t>
        </is>
      </c>
      <c r="C501" s="13" t="n">
        <v>89725</v>
      </c>
      <c r="D501" s="13" t="inlineStr">
        <is>
          <t>supplement</t>
        </is>
      </c>
    </row>
    <row r="502">
      <c r="A502" s="13" t="inlineStr">
        <is>
          <t>4Q25</t>
        </is>
      </c>
      <c r="B502" s="13" t="inlineStr">
        <is>
          <t>acra_inflows</t>
        </is>
      </c>
      <c r="C502" s="13" t="n">
        <v>3723</v>
      </c>
      <c r="D502" s="13" t="inlineStr">
        <is>
          <t>supplement</t>
        </is>
      </c>
    </row>
    <row r="503">
      <c r="A503" s="13" t="inlineStr">
        <is>
          <t>4Q25</t>
        </is>
      </c>
      <c r="B503" s="13" t="inlineStr">
        <is>
          <t>acra_other</t>
        </is>
      </c>
      <c r="C503" s="13" t="n">
        <v>730</v>
      </c>
      <c r="D503" s="13" t="inlineStr">
        <is>
          <t>supplement</t>
        </is>
      </c>
    </row>
    <row r="504">
      <c r="A504" s="13" t="inlineStr">
        <is>
          <t>4Q25</t>
        </is>
      </c>
      <c r="B504" s="13" t="inlineStr">
        <is>
          <t>acra_own</t>
        </is>
      </c>
      <c r="C504" s="13" t="n">
        <v>0</v>
      </c>
      <c r="D504" s="13" t="inlineStr">
        <is>
          <t>supplement</t>
        </is>
      </c>
    </row>
    <row r="505">
      <c r="A505" s="13" t="inlineStr">
        <is>
          <t>4Q25</t>
        </is>
      </c>
      <c r="B505" s="13" t="inlineStr">
        <is>
          <t>acra_withdrawals</t>
        </is>
      </c>
      <c r="C505" s="13" t="n">
        <v>-1554</v>
      </c>
      <c r="D505" s="13" t="inlineStr">
        <is>
          <t>supplement</t>
        </is>
      </c>
    </row>
    <row r="506">
      <c r="A506" s="13" t="inlineStr">
        <is>
          <t>4Q25</t>
        </is>
      </c>
      <c r="B506" s="13" t="inlineStr">
        <is>
          <t>avg_nia</t>
        </is>
      </c>
      <c r="C506" s="13" t="n">
        <v>289295</v>
      </c>
      <c r="D506" s="13" t="inlineStr">
        <is>
          <t>supplement</t>
        </is>
      </c>
    </row>
    <row r="507">
      <c r="A507" s="13" t="inlineStr">
        <is>
          <t>4Q25</t>
        </is>
      </c>
      <c r="B507" s="13" t="inlineStr">
        <is>
          <t>avg_nia_alt</t>
        </is>
      </c>
      <c r="C507" s="13" t="n">
        <v>13526</v>
      </c>
      <c r="D507" s="13" t="inlineStr">
        <is>
          <t>supplement</t>
        </is>
      </c>
    </row>
    <row r="508">
      <c r="A508" s="13" t="inlineStr">
        <is>
          <t>4Q25</t>
        </is>
      </c>
      <c r="B508" s="13" t="inlineStr">
        <is>
          <t>avg_nia_fi</t>
        </is>
      </c>
      <c r="C508" s="13" t="n">
        <v>275769</v>
      </c>
      <c r="D508" s="13" t="inlineStr">
        <is>
          <t>supplement</t>
        </is>
      </c>
    </row>
    <row r="509">
      <c r="A509" s="13" t="inlineStr">
        <is>
          <t>4Q25</t>
        </is>
      </c>
      <c r="B509" s="13" t="inlineStr">
        <is>
          <t>core_outflows</t>
        </is>
      </c>
      <c r="C509" s="13" t="n">
        <v>-7714</v>
      </c>
      <c r="D509" s="13" t="inlineStr">
        <is>
          <t>supplement</t>
        </is>
      </c>
    </row>
    <row r="510">
      <c r="A510" s="13" t="inlineStr">
        <is>
          <t>4Q25</t>
        </is>
      </c>
      <c r="B510" s="13" t="inlineStr">
        <is>
          <t>cq_naic1</t>
        </is>
      </c>
      <c r="C510" s="13" t="n">
        <v>100710</v>
      </c>
      <c r="D510" s="13" t="inlineStr">
        <is>
          <t>supplement</t>
        </is>
      </c>
    </row>
    <row r="511">
      <c r="A511" s="13" t="inlineStr">
        <is>
          <t>4Q25</t>
        </is>
      </c>
      <c r="B511" s="13" t="inlineStr">
        <is>
          <t>cq_naic2</t>
        </is>
      </c>
      <c r="C511" s="13" t="n">
        <v>77217</v>
      </c>
      <c r="D511" s="13" t="inlineStr">
        <is>
          <t>supplement</t>
        </is>
      </c>
    </row>
    <row r="512">
      <c r="A512" s="13" t="inlineStr">
        <is>
          <t>4Q25</t>
        </is>
      </c>
      <c r="B512" s="13" t="inlineStr">
        <is>
          <t>cq_naic3</t>
        </is>
      </c>
      <c r="C512" s="13" t="n">
        <v>4007</v>
      </c>
      <c r="D512" s="13" t="inlineStr">
        <is>
          <t>supplement</t>
        </is>
      </c>
    </row>
    <row r="513">
      <c r="A513" s="13" t="inlineStr">
        <is>
          <t>4Q25</t>
        </is>
      </c>
      <c r="B513" s="13" t="inlineStr">
        <is>
          <t>cq_naic4</t>
        </is>
      </c>
      <c r="C513" s="13" t="n">
        <v>1431</v>
      </c>
      <c r="D513" s="13" t="inlineStr">
        <is>
          <t>supplement</t>
        </is>
      </c>
    </row>
    <row r="514">
      <c r="A514" s="13" t="inlineStr">
        <is>
          <t>4Q25</t>
        </is>
      </c>
      <c r="B514" s="13" t="inlineStr">
        <is>
          <t>cq_naic5</t>
        </is>
      </c>
      <c r="C514" s="13" t="n">
        <v>644</v>
      </c>
      <c r="D514" s="13" t="inlineStr">
        <is>
          <t>supplement</t>
        </is>
      </c>
    </row>
    <row r="515">
      <c r="A515" s="13" t="inlineStr">
        <is>
          <t>4Q25</t>
        </is>
      </c>
      <c r="B515" s="13" t="inlineStr">
        <is>
          <t>cq_naic6</t>
        </is>
      </c>
      <c r="C515" s="13" t="n">
        <v>917</v>
      </c>
      <c r="D515" s="13" t="inlineStr">
        <is>
          <t>supplement</t>
        </is>
      </c>
    </row>
    <row r="516">
      <c r="A516" s="13" t="inlineStr">
        <is>
          <t>4Q25</t>
        </is>
      </c>
      <c r="B516" s="13" t="inlineStr">
        <is>
          <t>cq_nondesig_big</t>
        </is>
      </c>
      <c r="C516" s="13" t="n">
        <v>123</v>
      </c>
      <c r="D516" s="13" t="inlineStr">
        <is>
          <t>supplement</t>
        </is>
      </c>
    </row>
    <row r="517">
      <c r="A517" s="13" t="inlineStr">
        <is>
          <t>4Q25</t>
        </is>
      </c>
      <c r="B517" s="13" t="inlineStr">
        <is>
          <t>cq_nondesig_ig</t>
        </is>
      </c>
      <c r="C517" s="13" t="n">
        <v>415</v>
      </c>
      <c r="D517" s="13" t="inlineStr">
        <is>
          <t>supplement</t>
        </is>
      </c>
    </row>
    <row r="518">
      <c r="A518" s="13" t="inlineStr">
        <is>
          <t>4Q25</t>
        </is>
      </c>
      <c r="B518" s="13" t="inlineStr">
        <is>
          <t>cq_total_big</t>
        </is>
      </c>
      <c r="C518" s="13" t="n">
        <v>7122</v>
      </c>
      <c r="D518" s="13" t="inlineStr">
        <is>
          <t>supplement</t>
        </is>
      </c>
    </row>
    <row r="519">
      <c r="A519" s="13" t="inlineStr">
        <is>
          <t>4Q25</t>
        </is>
      </c>
      <c r="B519" s="13" t="inlineStr">
        <is>
          <t>cq_total_desig</t>
        </is>
      </c>
      <c r="C519" s="13" t="n">
        <v>185464</v>
      </c>
      <c r="D519" s="13" t="inlineStr">
        <is>
          <t>supplement</t>
        </is>
      </c>
    </row>
    <row r="520">
      <c r="A520" s="13" t="inlineStr">
        <is>
          <t>4Q25</t>
        </is>
      </c>
      <c r="B520" s="13" t="inlineStr">
        <is>
          <t>cq_total_ig</t>
        </is>
      </c>
      <c r="C520" s="13" t="n">
        <v>178342</v>
      </c>
      <c r="D520" s="13" t="inlineStr">
        <is>
          <t>supplement</t>
        </is>
      </c>
    </row>
    <row r="521">
      <c r="A521" s="13" t="inlineStr">
        <is>
          <t>4Q25</t>
        </is>
      </c>
      <c r="B521" s="13" t="inlineStr">
        <is>
          <t>eq_ahl_total</t>
        </is>
      </c>
      <c r="C521" s="13" t="n">
        <v>20492</v>
      </c>
      <c r="D521" s="13" t="inlineStr">
        <is>
          <t>supplement</t>
        </is>
      </c>
    </row>
    <row r="522">
      <c r="A522" s="13" t="inlineStr">
        <is>
          <t>4Q25</t>
        </is>
      </c>
      <c r="B522" s="13" t="inlineStr">
        <is>
          <t>eq_aoci</t>
        </is>
      </c>
      <c r="C522" s="13" t="n">
        <v>-2641</v>
      </c>
      <c r="D522" s="13" t="inlineStr">
        <is>
          <t>supplement</t>
        </is>
      </c>
    </row>
    <row r="523">
      <c r="A523" s="13" t="inlineStr">
        <is>
          <t>4Q25</t>
        </is>
      </c>
      <c r="B523" s="13" t="inlineStr">
        <is>
          <t>eq_apic</t>
        </is>
      </c>
      <c r="C523" s="13" t="n">
        <v>19238</v>
      </c>
      <c r="D523" s="13" t="inlineStr">
        <is>
          <t>supplement</t>
        </is>
      </c>
    </row>
    <row r="524">
      <c r="A524" s="13" t="inlineStr">
        <is>
          <t>4Q25</t>
        </is>
      </c>
      <c r="B524" s="13" t="inlineStr">
        <is>
          <t>eq_nci</t>
        </is>
      </c>
      <c r="C524" s="13" t="n">
        <v>15146</v>
      </c>
      <c r="D524" s="13" t="inlineStr">
        <is>
          <t>supplement</t>
        </is>
      </c>
    </row>
    <row r="525">
      <c r="A525" s="13" t="inlineStr">
        <is>
          <t>4Q25</t>
        </is>
      </c>
      <c r="B525" s="13" t="inlineStr">
        <is>
          <t>eq_re</t>
        </is>
      </c>
      <c r="C525" s="13" t="n">
        <v>3895</v>
      </c>
      <c r="D525" s="13" t="inlineStr">
        <is>
          <t>supplement</t>
        </is>
      </c>
    </row>
    <row r="526">
      <c r="A526" s="13" t="inlineStr">
        <is>
          <t>4Q25</t>
        </is>
      </c>
      <c r="B526" s="13" t="inlineStr">
        <is>
          <t>eq_total</t>
        </is>
      </c>
      <c r="C526" s="13" t="n">
        <v>35638</v>
      </c>
      <c r="D526" s="13" t="inlineStr">
        <is>
          <t>supplement</t>
        </is>
      </c>
    </row>
    <row r="527">
      <c r="A527" s="13" t="inlineStr">
        <is>
          <t>4Q25</t>
        </is>
      </c>
      <c r="B527" s="13" t="inlineStr">
        <is>
          <t>eq_total_le</t>
        </is>
      </c>
      <c r="C527" s="13" t="n">
        <v>442205</v>
      </c>
      <c r="D527" s="13" t="inlineStr">
        <is>
          <t>supplement</t>
        </is>
      </c>
    </row>
    <row r="528">
      <c r="A528" s="13" t="inlineStr">
        <is>
          <t>4Q25</t>
        </is>
      </c>
      <c r="B528" s="13" t="inlineStr">
        <is>
          <t>flow_reins</t>
        </is>
      </c>
      <c r="C528" s="13" t="n">
        <v>1665</v>
      </c>
      <c r="D528" s="13" t="inlineStr">
        <is>
          <t>supplement</t>
        </is>
      </c>
    </row>
    <row r="529">
      <c r="A529" s="13" t="inlineStr">
        <is>
          <t>4Q25</t>
        </is>
      </c>
      <c r="B529" s="13" t="inlineStr">
        <is>
          <t>funding_agreements</t>
        </is>
      </c>
      <c r="C529" s="13" t="n">
        <v>2800</v>
      </c>
      <c r="D529" s="13" t="inlineStr">
        <is>
          <t>supplement</t>
        </is>
      </c>
    </row>
    <row r="530">
      <c r="A530" s="13" t="inlineStr">
        <is>
          <t>4Q25</t>
        </is>
      </c>
      <c r="B530" s="13" t="inlineStr">
        <is>
          <t>gaap_dac</t>
        </is>
      </c>
      <c r="C530" s="13" t="n">
        <v>328</v>
      </c>
      <c r="D530" s="13" t="inlineStr">
        <is>
          <t>supplement</t>
        </is>
      </c>
    </row>
    <row r="531">
      <c r="A531" s="13" t="inlineStr">
        <is>
          <t>4Q25</t>
        </is>
      </c>
      <c r="B531" s="13" t="inlineStr">
        <is>
          <t>gaap_fpb</t>
        </is>
      </c>
      <c r="C531" s="13" t="n">
        <v>2752</v>
      </c>
      <c r="D531" s="13" t="inlineStr">
        <is>
          <t>supplement</t>
        </is>
      </c>
    </row>
    <row r="532">
      <c r="A532" s="13" t="inlineStr">
        <is>
          <t>4Q25</t>
        </is>
      </c>
      <c r="B532" s="13" t="inlineStr">
        <is>
          <t>gaap_inv_gl</t>
        </is>
      </c>
      <c r="C532" s="13" t="n">
        <v>123</v>
      </c>
      <c r="D532" s="13" t="inlineStr">
        <is>
          <t>supplement</t>
        </is>
      </c>
    </row>
    <row r="533">
      <c r="A533" s="13" t="inlineStr">
        <is>
          <t>4Q25</t>
        </is>
      </c>
      <c r="B533" s="13" t="inlineStr">
        <is>
          <t>gaap_iscb</t>
        </is>
      </c>
      <c r="C533" s="13" t="n">
        <v>3003</v>
      </c>
      <c r="D533" s="13" t="inlineStr">
        <is>
          <t>supplement</t>
        </is>
      </c>
    </row>
    <row r="534">
      <c r="A534" s="13" t="inlineStr">
        <is>
          <t>4Q25</t>
        </is>
      </c>
      <c r="B534" s="13" t="inlineStr">
        <is>
          <t>gaap_mrb</t>
        </is>
      </c>
      <c r="C534" s="13" t="n">
        <v>47</v>
      </c>
      <c r="D534" s="13" t="inlineStr">
        <is>
          <t>supplement</t>
        </is>
      </c>
    </row>
    <row r="535">
      <c r="A535" s="13" t="inlineStr">
        <is>
          <t>4Q25</t>
        </is>
      </c>
      <c r="B535" s="13" t="inlineStr">
        <is>
          <t>gaap_ni</t>
        </is>
      </c>
      <c r="C535" s="13" t="n">
        <v>898</v>
      </c>
      <c r="D535" s="13" t="inlineStr">
        <is>
          <t>supplement</t>
        </is>
      </c>
    </row>
    <row r="536">
      <c r="A536" s="13" t="inlineStr">
        <is>
          <t>4Q25</t>
        </is>
      </c>
      <c r="B536" s="13" t="inlineStr">
        <is>
          <t>gaap_ni_ahl</t>
        </is>
      </c>
      <c r="C536" s="13" t="n">
        <v>523</v>
      </c>
      <c r="D536" s="13" t="inlineStr">
        <is>
          <t>supplement</t>
        </is>
      </c>
    </row>
    <row r="537">
      <c r="A537" s="13" t="inlineStr">
        <is>
          <t>4Q25</t>
        </is>
      </c>
      <c r="B537" s="13" t="inlineStr">
        <is>
          <t>gaap_ni_common</t>
        </is>
      </c>
      <c r="C537" s="13" t="n">
        <v>488</v>
      </c>
      <c r="D537" s="13" t="inlineStr">
        <is>
          <t>supplement</t>
        </is>
      </c>
    </row>
    <row r="538">
      <c r="A538" s="13" t="inlineStr">
        <is>
          <t>4Q25</t>
        </is>
      </c>
      <c r="B538" s="13" t="inlineStr">
        <is>
          <t>gaap_ni_nci</t>
        </is>
      </c>
      <c r="C538" s="13" t="n">
        <v>375</v>
      </c>
      <c r="D538" s="13" t="inlineStr">
        <is>
          <t>supplement</t>
        </is>
      </c>
    </row>
    <row r="539">
      <c r="A539" s="13" t="inlineStr">
        <is>
          <t>4Q25</t>
        </is>
      </c>
      <c r="B539" s="13" t="inlineStr">
        <is>
          <t>gaap_nii</t>
        </is>
      </c>
      <c r="C539" s="13" t="n">
        <v>4755</v>
      </c>
      <c r="D539" s="13" t="inlineStr">
        <is>
          <t>supplement</t>
        </is>
      </c>
    </row>
    <row r="540">
      <c r="A540" s="13" t="inlineStr">
        <is>
          <t>4Q25</t>
        </is>
      </c>
      <c r="B540" s="13" t="inlineStr">
        <is>
          <t>gaap_opex</t>
        </is>
      </c>
      <c r="C540" s="13" t="n">
        <v>627</v>
      </c>
      <c r="D540" s="13" t="inlineStr">
        <is>
          <t>supplement</t>
        </is>
      </c>
    </row>
    <row r="541">
      <c r="A541" s="13" t="inlineStr">
        <is>
          <t>4Q25</t>
        </is>
      </c>
      <c r="B541" s="13" t="inlineStr">
        <is>
          <t>gaap_other_rev</t>
        </is>
      </c>
      <c r="C541" s="13" t="n">
        <v>9</v>
      </c>
      <c r="D541" s="13" t="inlineStr">
        <is>
          <t>supplement</t>
        </is>
      </c>
    </row>
    <row r="542">
      <c r="A542" s="13" t="inlineStr">
        <is>
          <t>4Q25</t>
        </is>
      </c>
      <c r="B542" s="13" t="inlineStr">
        <is>
          <t>gaap_pref</t>
        </is>
      </c>
      <c r="C542" s="13" t="n">
        <v>35</v>
      </c>
      <c r="D542" s="13" t="inlineStr">
        <is>
          <t>supplement</t>
        </is>
      </c>
    </row>
    <row r="543">
      <c r="A543" s="13" t="inlineStr">
        <is>
          <t>4Q25</t>
        </is>
      </c>
      <c r="B543" s="13" t="inlineStr">
        <is>
          <t>gaap_pref_red</t>
        </is>
      </c>
      <c r="C543" s="13" t="n">
        <v>0</v>
      </c>
      <c r="D543" s="13" t="inlineStr">
        <is>
          <t>supplement</t>
        </is>
      </c>
    </row>
    <row r="544">
      <c r="A544" s="13" t="inlineStr">
        <is>
          <t>4Q25</t>
        </is>
      </c>
      <c r="B544" s="13" t="inlineStr">
        <is>
          <t>gaap_premiums</t>
        </is>
      </c>
      <c r="C544" s="13" t="n">
        <v>2277</v>
      </c>
      <c r="D544" s="13" t="inlineStr">
        <is>
          <t>supplement</t>
        </is>
      </c>
    </row>
    <row r="545">
      <c r="A545" s="13" t="inlineStr">
        <is>
          <t>4Q25</t>
        </is>
      </c>
      <c r="B545" s="13" t="inlineStr">
        <is>
          <t>gaap_pretax</t>
        </is>
      </c>
      <c r="C545" s="13" t="n">
        <v>1377</v>
      </c>
      <c r="D545" s="13" t="inlineStr">
        <is>
          <t>supplement</t>
        </is>
      </c>
    </row>
    <row r="546">
      <c r="A546" s="13" t="inlineStr">
        <is>
          <t>4Q25</t>
        </is>
      </c>
      <c r="B546" s="13" t="inlineStr">
        <is>
          <t>gaap_product_charges</t>
        </is>
      </c>
      <c r="C546" s="13" t="n">
        <v>306</v>
      </c>
      <c r="D546" s="13" t="inlineStr">
        <is>
          <t>supplement</t>
        </is>
      </c>
    </row>
    <row r="547">
      <c r="A547" s="13" t="inlineStr">
        <is>
          <t>4Q25</t>
        </is>
      </c>
      <c r="B547" s="13" t="inlineStr">
        <is>
          <t>gaap_tax</t>
        </is>
      </c>
      <c r="C547" s="13" t="n">
        <v>479</v>
      </c>
      <c r="D547" s="13" t="inlineStr">
        <is>
          <t>supplement</t>
        </is>
      </c>
    </row>
    <row r="548">
      <c r="A548" s="13" t="inlineStr">
        <is>
          <t>4Q25</t>
        </is>
      </c>
      <c r="B548" s="13" t="inlineStr">
        <is>
          <t>gaap_total_be</t>
        </is>
      </c>
      <c r="C548" s="13" t="n">
        <v>6757</v>
      </c>
      <c r="D548" s="13" t="inlineStr">
        <is>
          <t>supplement</t>
        </is>
      </c>
    </row>
    <row r="549">
      <c r="A549" s="13" t="inlineStr">
        <is>
          <t>4Q25</t>
        </is>
      </c>
      <c r="B549" s="13" t="inlineStr">
        <is>
          <t>gaap_total_rev</t>
        </is>
      </c>
      <c r="C549" s="13" t="n">
        <v>8134</v>
      </c>
      <c r="D549" s="13" t="inlineStr">
        <is>
          <t>supplement</t>
        </is>
      </c>
    </row>
    <row r="550">
      <c r="A550" s="13" t="inlineStr">
        <is>
          <t>4Q25</t>
        </is>
      </c>
      <c r="B550" s="13" t="inlineStr">
        <is>
          <t>gaap_vie_gl</t>
        </is>
      </c>
      <c r="C550" s="13" t="n">
        <v>632</v>
      </c>
      <c r="D550" s="13" t="inlineStr">
        <is>
          <t>supplement</t>
        </is>
      </c>
    </row>
    <row r="551">
      <c r="A551" s="13" t="inlineStr">
        <is>
          <t>4Q25</t>
        </is>
      </c>
      <c r="B551" s="13" t="inlineStr">
        <is>
          <t>gaap_vie_nii</t>
        </is>
      </c>
      <c r="C551" s="13" t="n">
        <v>32</v>
      </c>
      <c r="D551" s="13" t="inlineStr">
        <is>
          <t>supplement</t>
        </is>
      </c>
    </row>
    <row r="552">
      <c r="A552" s="13" t="inlineStr">
        <is>
          <t>4Q25</t>
        </is>
      </c>
      <c r="B552" s="13" t="inlineStr">
        <is>
          <t>gross_inorganic</t>
        </is>
      </c>
      <c r="C552" s="13" t="n">
        <v>1340</v>
      </c>
      <c r="D552" s="13" t="inlineStr">
        <is>
          <t>supplement</t>
        </is>
      </c>
    </row>
    <row r="553">
      <c r="A553" s="13" t="inlineStr">
        <is>
          <t>4Q25</t>
        </is>
      </c>
      <c r="B553" s="13" t="inlineStr">
        <is>
          <t>gross_organic</t>
        </is>
      </c>
      <c r="C553" s="13" t="n">
        <v>12687</v>
      </c>
      <c r="D553" s="13" t="inlineStr">
        <is>
          <t>supplement</t>
        </is>
      </c>
    </row>
    <row r="554">
      <c r="A554" s="13" t="inlineStr">
        <is>
          <t>4Q25</t>
        </is>
      </c>
      <c r="B554" s="13" t="inlineStr">
        <is>
          <t>gross_outflows</t>
        </is>
      </c>
      <c r="C554" s="13" t="n">
        <v>-9268</v>
      </c>
      <c r="D554" s="13" t="inlineStr">
        <is>
          <t>supplement</t>
        </is>
      </c>
    </row>
    <row r="555">
      <c r="A555" s="13" t="inlineStr">
        <is>
          <t>4Q25</t>
        </is>
      </c>
      <c r="B555" s="13" t="inlineStr">
        <is>
          <t>inflows_adip</t>
        </is>
      </c>
      <c r="C555" s="13" t="n">
        <v>3515</v>
      </c>
      <c r="D555" s="13" t="inlineStr">
        <is>
          <t>supplement</t>
        </is>
      </c>
    </row>
    <row r="556">
      <c r="A556" s="13" t="inlineStr">
        <is>
          <t>4Q25</t>
        </is>
      </c>
      <c r="B556" s="13" t="inlineStr">
        <is>
          <t>inflows_athene</t>
        </is>
      </c>
      <c r="C556" s="13" t="n">
        <v>10142</v>
      </c>
      <c r="D556" s="13" t="inlineStr">
        <is>
          <t>supplement</t>
        </is>
      </c>
    </row>
    <row r="557">
      <c r="A557" s="13" t="inlineStr">
        <is>
          <t>4Q25</t>
        </is>
      </c>
      <c r="B557" s="13" t="inlineStr">
        <is>
          <t>inflows_ceded_3p</t>
        </is>
      </c>
      <c r="C557" s="13" t="n">
        <v>370</v>
      </c>
      <c r="D557" s="13" t="inlineStr">
        <is>
          <t>supplement</t>
        </is>
      </c>
    </row>
    <row r="558">
      <c r="A558" s="13" t="inlineStr">
        <is>
          <t>4Q25</t>
        </is>
      </c>
      <c r="B558" s="13" t="inlineStr">
        <is>
          <t>net_flows</t>
        </is>
      </c>
      <c r="C558" s="13" t="n">
        <v>4759</v>
      </c>
      <c r="D558" s="13" t="inlineStr">
        <is>
          <t>supplement</t>
        </is>
      </c>
    </row>
    <row r="559">
      <c r="A559" s="13" t="inlineStr">
        <is>
          <t>4Q25</t>
        </is>
      </c>
      <c r="B559" s="13" t="inlineStr">
        <is>
          <t>nia_abs</t>
        </is>
      </c>
      <c r="C559" s="13" t="n">
        <v>38417</v>
      </c>
      <c r="D559" s="13" t="inlineStr">
        <is>
          <t>supplement</t>
        </is>
      </c>
    </row>
    <row r="560">
      <c r="A560" s="13" t="inlineStr">
        <is>
          <t>4Q25</t>
        </is>
      </c>
      <c r="B560" s="13" t="inlineStr">
        <is>
          <t>nia_alts</t>
        </is>
      </c>
      <c r="C560" s="13" t="n">
        <v>13868</v>
      </c>
      <c r="D560" s="13" t="inlineStr">
        <is>
          <t>supplement</t>
        </is>
      </c>
    </row>
    <row r="561">
      <c r="A561" s="13" t="inlineStr">
        <is>
          <t>4Q25</t>
        </is>
      </c>
      <c r="B561" s="13" t="inlineStr">
        <is>
          <t>nia_cash</t>
        </is>
      </c>
      <c r="C561" s="13" t="n">
        <v>10490</v>
      </c>
      <c r="D561" s="13" t="inlineStr">
        <is>
          <t>supplement</t>
        </is>
      </c>
    </row>
    <row r="562">
      <c r="A562" s="13" t="inlineStr">
        <is>
          <t>4Q25</t>
        </is>
      </c>
      <c r="B562" s="13" t="inlineStr">
        <is>
          <t>nia_clo</t>
        </is>
      </c>
      <c r="C562" s="13" t="n">
        <v>25401</v>
      </c>
      <c r="D562" s="13" t="inlineStr">
        <is>
          <t>supplement</t>
        </is>
      </c>
    </row>
    <row r="563">
      <c r="A563" s="13" t="inlineStr">
        <is>
          <t>4Q25</t>
        </is>
      </c>
      <c r="B563" s="13" t="inlineStr">
        <is>
          <t>nia_cmbs</t>
        </is>
      </c>
      <c r="C563" s="13" t="n">
        <v>9877</v>
      </c>
      <c r="D563" s="13" t="inlineStr">
        <is>
          <t>supplement</t>
        </is>
      </c>
    </row>
    <row r="564">
      <c r="A564" s="13" t="inlineStr">
        <is>
          <t>4Q25</t>
        </is>
      </c>
      <c r="B564" s="13" t="inlineStr">
        <is>
          <t>nia_cml</t>
        </is>
      </c>
      <c r="C564" s="13" t="n">
        <v>31789</v>
      </c>
      <c r="D564" s="13" t="inlineStr">
        <is>
          <t>supplement</t>
        </is>
      </c>
    </row>
    <row r="565">
      <c r="A565" s="13" t="inlineStr">
        <is>
          <t>4Q25</t>
        </is>
      </c>
      <c r="B565" s="13" t="inlineStr">
        <is>
          <t>nia_corporate</t>
        </is>
      </c>
      <c r="C565" s="13" t="n">
        <v>86664</v>
      </c>
      <c r="D565" s="13" t="inlineStr">
        <is>
          <t>supplement</t>
        </is>
      </c>
    </row>
    <row r="566">
      <c r="A566" s="13" t="inlineStr">
        <is>
          <t>4Q25</t>
        </is>
      </c>
      <c r="B566" s="13" t="inlineStr">
        <is>
          <t>nia_credit_sub</t>
        </is>
      </c>
      <c r="C566" s="13" t="n">
        <v>112065</v>
      </c>
      <c r="D566" s="13" t="inlineStr">
        <is>
          <t>supplement</t>
        </is>
      </c>
    </row>
    <row r="567">
      <c r="A567" s="13" t="inlineStr">
        <is>
          <t>4Q25</t>
        </is>
      </c>
      <c r="B567" s="13" t="inlineStr">
        <is>
          <t>nia_equity_sec</t>
        </is>
      </c>
      <c r="C567" s="13" t="n">
        <v>2039</v>
      </c>
      <c r="D567" s="13" t="inlineStr">
        <is>
          <t>supplement</t>
        </is>
      </c>
    </row>
    <row r="568">
      <c r="A568" s="13" t="inlineStr">
        <is>
          <t>4Q25</t>
        </is>
      </c>
      <c r="B568" s="13" t="inlineStr">
        <is>
          <t>nia_munis_foreign</t>
        </is>
      </c>
      <c r="C568" s="13" t="n">
        <v>3081</v>
      </c>
      <c r="D568" s="13" t="inlineStr">
        <is>
          <t>supplement</t>
        </is>
      </c>
    </row>
    <row r="569">
      <c r="A569" s="13" t="inlineStr">
        <is>
          <t>4Q25</t>
        </is>
      </c>
      <c r="B569" s="13" t="inlineStr">
        <is>
          <t>nia_other</t>
        </is>
      </c>
      <c r="C569" s="13" t="n">
        <v>5438</v>
      </c>
      <c r="D569" s="13" t="inlineStr">
        <is>
          <t>supplement</t>
        </is>
      </c>
    </row>
    <row r="570">
      <c r="A570" s="13" t="inlineStr">
        <is>
          <t>4Q25</t>
        </is>
      </c>
      <c r="B570" s="13" t="inlineStr">
        <is>
          <t>nia_other_inv_sub</t>
        </is>
      </c>
      <c r="C570" s="13" t="n">
        <v>71837</v>
      </c>
      <c r="D570" s="13" t="inlineStr">
        <is>
          <t>supplement</t>
        </is>
      </c>
    </row>
    <row r="571">
      <c r="A571" s="13" t="inlineStr">
        <is>
          <t>4Q25</t>
        </is>
      </c>
      <c r="B571" s="13" t="inlineStr">
        <is>
          <t>nia_real_estate_sub</t>
        </is>
      </c>
      <c r="C571" s="13" t="n">
        <v>92584</v>
      </c>
      <c r="D571" s="13" t="inlineStr">
        <is>
          <t>supplement</t>
        </is>
      </c>
    </row>
    <row r="572">
      <c r="A572" s="13" t="inlineStr">
        <is>
          <t>4Q25</t>
        </is>
      </c>
      <c r="B572" s="13" t="inlineStr">
        <is>
          <t>nia_rmbs</t>
        </is>
      </c>
      <c r="C572" s="13" t="n">
        <v>7592</v>
      </c>
      <c r="D572" s="13" t="inlineStr">
        <is>
          <t>supplement</t>
        </is>
      </c>
    </row>
    <row r="573">
      <c r="A573" s="13" t="inlineStr">
        <is>
          <t>4Q25</t>
        </is>
      </c>
      <c r="B573" s="13" t="inlineStr">
        <is>
          <t>nia_rml</t>
        </is>
      </c>
      <c r="C573" s="13" t="n">
        <v>43326</v>
      </c>
      <c r="D573" s="13" t="inlineStr">
        <is>
          <t>supplement</t>
        </is>
      </c>
    </row>
    <row r="574">
      <c r="A574" s="13" t="inlineStr">
        <is>
          <t>4Q25</t>
        </is>
      </c>
      <c r="B574" s="13" t="inlineStr">
        <is>
          <t>nia_short_term</t>
        </is>
      </c>
      <c r="C574" s="13" t="n">
        <v>207</v>
      </c>
      <c r="D574" s="13" t="inlineStr">
        <is>
          <t>supplement</t>
        </is>
      </c>
    </row>
    <row r="575">
      <c r="A575" s="13" t="inlineStr">
        <is>
          <t>4Q25</t>
        </is>
      </c>
      <c r="B575" s="13" t="inlineStr">
        <is>
          <t>nia_total</t>
        </is>
      </c>
      <c r="C575" s="13" t="n">
        <v>292414</v>
      </c>
      <c r="D575" s="13" t="inlineStr">
        <is>
          <t>supplement</t>
        </is>
      </c>
    </row>
    <row r="576">
      <c r="A576" s="13" t="inlineStr">
        <is>
          <t>4Q25</t>
        </is>
      </c>
      <c r="B576" s="13" t="inlineStr">
        <is>
          <t>nia_us_gov</t>
        </is>
      </c>
      <c r="C576" s="13" t="n">
        <v>14225</v>
      </c>
      <c r="D576" s="13" t="inlineStr">
        <is>
          <t>supplement</t>
        </is>
      </c>
    </row>
    <row r="577">
      <c r="A577" s="13" t="inlineStr">
        <is>
          <t>4Q25</t>
        </is>
      </c>
      <c r="B577" s="13" t="inlineStr">
        <is>
          <t>nrl_begin</t>
        </is>
      </c>
      <c r="C577" s="13" t="n">
        <v>266451</v>
      </c>
      <c r="D577" s="13" t="inlineStr">
        <is>
          <t>supplement</t>
        </is>
      </c>
    </row>
    <row r="578">
      <c r="A578" s="13" t="inlineStr">
        <is>
          <t>4Q25</t>
        </is>
      </c>
      <c r="B578" s="13" t="inlineStr">
        <is>
          <t>nrl_deferred_total</t>
        </is>
      </c>
      <c r="C578" s="13" t="n">
        <v>165096</v>
      </c>
      <c r="D578" s="13" t="inlineStr">
        <is>
          <t>supplement</t>
        </is>
      </c>
    </row>
    <row r="579">
      <c r="A579" s="13" t="inlineStr">
        <is>
          <t>4Q25</t>
        </is>
      </c>
      <c r="B579" s="13" t="inlineStr">
        <is>
          <t>nrl_end</t>
        </is>
      </c>
      <c r="C579" s="13" t="n">
        <v>271233</v>
      </c>
      <c r="D579" s="13" t="inlineStr">
        <is>
          <t>supplement</t>
        </is>
      </c>
    </row>
    <row r="580">
      <c r="A580" s="13" t="inlineStr">
        <is>
          <t>4Q25</t>
        </is>
      </c>
      <c r="B580" s="13" t="inlineStr">
        <is>
          <t>nrl_fa</t>
        </is>
      </c>
      <c r="C580" s="13" t="n">
        <v>71433</v>
      </c>
      <c r="D580" s="13" t="inlineStr">
        <is>
          <t>supplement</t>
        </is>
      </c>
    </row>
    <row r="581">
      <c r="A581" s="13" t="inlineStr">
        <is>
          <t>4Q25</t>
        </is>
      </c>
      <c r="B581" s="13" t="inlineStr">
        <is>
          <t>nrl_fixed</t>
        </is>
      </c>
      <c r="C581" s="13" t="n">
        <v>77774</v>
      </c>
      <c r="D581" s="13" t="inlineStr">
        <is>
          <t>supplement</t>
        </is>
      </c>
    </row>
    <row r="582">
      <c r="A582" s="13" t="inlineStr">
        <is>
          <t>4Q25</t>
        </is>
      </c>
      <c r="B582" s="13" t="inlineStr">
        <is>
          <t>nrl_indexed</t>
        </is>
      </c>
      <c r="C582" s="13" t="n">
        <v>87322</v>
      </c>
      <c r="D582" s="13" t="inlineStr">
        <is>
          <t>supplement</t>
        </is>
      </c>
    </row>
    <row r="583">
      <c r="A583" s="13" t="inlineStr">
        <is>
          <t>4Q25</t>
        </is>
      </c>
      <c r="B583" s="13" t="inlineStr">
        <is>
          <t>nrl_life_other</t>
        </is>
      </c>
      <c r="C583" s="13" t="n">
        <v>4550</v>
      </c>
      <c r="D583" s="13" t="inlineStr">
        <is>
          <t>supplement</t>
        </is>
      </c>
    </row>
    <row r="584">
      <c r="A584" s="13" t="inlineStr">
        <is>
          <t>4Q25</t>
        </is>
      </c>
      <c r="B584" s="13" t="inlineStr">
        <is>
          <t>nrl_payout</t>
        </is>
      </c>
      <c r="C584" s="13" t="n">
        <v>5066</v>
      </c>
      <c r="D584" s="13" t="inlineStr">
        <is>
          <t>supplement</t>
        </is>
      </c>
    </row>
    <row r="585">
      <c r="A585" s="13" t="inlineStr">
        <is>
          <t>4Q25</t>
        </is>
      </c>
      <c r="B585" s="13" t="inlineStr">
        <is>
          <t>nrl_pga</t>
        </is>
      </c>
      <c r="C585" s="13" t="n">
        <v>25088</v>
      </c>
      <c r="D585" s="13" t="inlineStr">
        <is>
          <t>supplement</t>
        </is>
      </c>
    </row>
    <row r="586">
      <c r="A586" s="13" t="inlineStr">
        <is>
          <t>4Q25</t>
        </is>
      </c>
      <c r="B586" s="13" t="inlineStr">
        <is>
          <t>nrl_total</t>
        </is>
      </c>
      <c r="C586" s="13" t="n">
        <v>271233</v>
      </c>
      <c r="D586" s="13" t="inlineStr">
        <is>
          <t>supplement</t>
        </is>
      </c>
    </row>
    <row r="587">
      <c r="A587" s="13" t="inlineStr">
        <is>
          <t>4Q25</t>
        </is>
      </c>
      <c r="B587" s="13" t="inlineStr">
        <is>
          <t>other_spread</t>
        </is>
      </c>
      <c r="C587" s="13" t="n">
        <v>133</v>
      </c>
      <c r="D587" s="13" t="inlineStr">
        <is>
          <t>supplement</t>
        </is>
      </c>
    </row>
    <row r="588">
      <c r="A588" s="13" t="inlineStr">
        <is>
          <t>4Q25</t>
        </is>
      </c>
      <c r="B588" s="13" t="inlineStr">
        <is>
          <t>outflow_income_planned</t>
        </is>
      </c>
      <c r="C588" s="13" t="n">
        <v>-1922</v>
      </c>
      <c r="D588" s="13" t="inlineStr">
        <is>
          <t>supplement</t>
        </is>
      </c>
    </row>
    <row r="589">
      <c r="A589" s="13" t="inlineStr">
        <is>
          <t>4Q25</t>
        </is>
      </c>
      <c r="B589" s="13" t="inlineStr">
        <is>
          <t>outflow_isc_unplanned</t>
        </is>
      </c>
      <c r="C589" s="13" t="n">
        <v>-953</v>
      </c>
      <c r="D589" s="13" t="inlineStr">
        <is>
          <t>supplement</t>
        </is>
      </c>
    </row>
    <row r="590">
      <c r="A590" s="13" t="inlineStr">
        <is>
          <t>4Q25</t>
        </is>
      </c>
      <c r="B590" s="13" t="inlineStr">
        <is>
          <t>outflow_maturity_driven</t>
        </is>
      </c>
      <c r="C590" s="13" t="n">
        <v>-3641</v>
      </c>
      <c r="D590" s="13" t="inlineStr">
        <is>
          <t>supplement</t>
        </is>
      </c>
    </row>
    <row r="591">
      <c r="A591" s="13" t="inlineStr">
        <is>
          <t>4Q25</t>
        </is>
      </c>
      <c r="B591" s="13" t="inlineStr">
        <is>
          <t>outflow_oosc_planned</t>
        </is>
      </c>
      <c r="C591" s="13" t="n">
        <v>-1198</v>
      </c>
      <c r="D591" s="13" t="inlineStr">
        <is>
          <t>supplement</t>
        </is>
      </c>
    </row>
    <row r="592">
      <c r="A592" s="13" t="inlineStr">
        <is>
          <t>4Q25</t>
        </is>
      </c>
      <c r="B592" s="13" t="inlineStr">
        <is>
          <t>outflow_policyholder</t>
        </is>
      </c>
      <c r="C592" s="13" t="n">
        <v>-4073</v>
      </c>
      <c r="D592" s="13" t="inlineStr">
        <is>
          <t>supplement</t>
        </is>
      </c>
    </row>
    <row r="593">
      <c r="A593" s="13" t="inlineStr">
        <is>
          <t>4Q25</t>
        </is>
      </c>
      <c r="B593" s="13" t="inlineStr">
        <is>
          <t>outflows_adip</t>
        </is>
      </c>
      <c r="C593" s="13" t="n">
        <v>-1554</v>
      </c>
      <c r="D593" s="13" t="inlineStr">
        <is>
          <t>supplement</t>
        </is>
      </c>
    </row>
    <row r="594">
      <c r="A594" s="13" t="inlineStr">
        <is>
          <t>4Q25</t>
        </is>
      </c>
      <c r="B594" s="13" t="inlineStr">
        <is>
          <t>outflows_athene</t>
        </is>
      </c>
      <c r="C594" s="13" t="n">
        <v>-7714</v>
      </c>
      <c r="D594" s="13" t="inlineStr">
        <is>
          <t>supplement</t>
        </is>
      </c>
    </row>
    <row r="595">
      <c r="A595" s="13" t="inlineStr">
        <is>
          <t>4Q25</t>
        </is>
      </c>
      <c r="B595" s="13" t="inlineStr">
        <is>
          <t>pga</t>
        </is>
      </c>
      <c r="C595" s="13" t="n">
        <v>746</v>
      </c>
      <c r="D595" s="13" t="inlineStr">
        <is>
          <t>supplement</t>
        </is>
      </c>
    </row>
    <row r="596">
      <c r="A596" s="13" t="inlineStr">
        <is>
          <t>4Q25</t>
        </is>
      </c>
      <c r="B596" s="13" t="inlineStr">
        <is>
          <t>retail</t>
        </is>
      </c>
      <c r="C596" s="13" t="n">
        <v>7343</v>
      </c>
      <c r="D596" s="13" t="inlineStr">
        <is>
          <t>supplement</t>
        </is>
      </c>
    </row>
    <row r="597">
      <c r="A597" s="13" t="inlineStr">
        <is>
          <t>4Q25</t>
        </is>
      </c>
      <c r="B597" s="13" t="inlineStr">
        <is>
          <t>roll_acra_nci</t>
        </is>
      </c>
      <c r="C597" s="13" t="n">
        <v>-3723</v>
      </c>
      <c r="D597" s="13" t="inlineStr">
        <is>
          <t>supplement</t>
        </is>
      </c>
    </row>
    <row r="598">
      <c r="A598" s="13" t="inlineStr">
        <is>
          <t>4Q25</t>
        </is>
      </c>
      <c r="B598" s="13" t="inlineStr">
        <is>
          <t>roll_acra_own</t>
        </is>
      </c>
      <c r="C598" s="13" t="n">
        <v>0</v>
      </c>
      <c r="D598" s="13" t="inlineStr">
        <is>
          <t>supplement</t>
        </is>
      </c>
    </row>
    <row r="599">
      <c r="A599" s="13" t="inlineStr">
        <is>
          <t>4Q25</t>
        </is>
      </c>
      <c r="B599" s="13" t="inlineStr">
        <is>
          <t>roll_block</t>
        </is>
      </c>
      <c r="C599" s="13" t="n">
        <v>1340</v>
      </c>
      <c r="D599" s="13" t="inlineStr">
        <is>
          <t>supplement</t>
        </is>
      </c>
    </row>
    <row r="600">
      <c r="A600" s="13" t="inlineStr">
        <is>
          <t>4Q25</t>
        </is>
      </c>
      <c r="B600" s="13" t="inlineStr">
        <is>
          <t>roll_ceded_3p</t>
        </is>
      </c>
      <c r="C600" s="13" t="n">
        <v>-370</v>
      </c>
      <c r="D600" s="13" t="inlineStr">
        <is>
          <t>supplement</t>
        </is>
      </c>
    </row>
    <row r="601">
      <c r="A601" s="13" t="inlineStr">
        <is>
          <t>4Q25</t>
        </is>
      </c>
      <c r="B601" s="13" t="inlineStr">
        <is>
          <t>roll_gross_inflows</t>
        </is>
      </c>
      <c r="C601" s="13" t="n">
        <v>13318</v>
      </c>
      <c r="D601" s="13" t="inlineStr">
        <is>
          <t>supplement</t>
        </is>
      </c>
    </row>
    <row r="602">
      <c r="A602" s="13" t="inlineStr">
        <is>
          <t>4Q25</t>
        </is>
      </c>
      <c r="B602" s="13" t="inlineStr">
        <is>
          <t>roll_net_inflows</t>
        </is>
      </c>
      <c r="C602" s="13" t="n">
        <v>10565</v>
      </c>
      <c r="D602" s="13" t="inlineStr">
        <is>
          <t>supplement</t>
        </is>
      </c>
    </row>
    <row r="603">
      <c r="A603" s="13" t="inlineStr">
        <is>
          <t>4Q25</t>
        </is>
      </c>
      <c r="B603" s="13" t="inlineStr">
        <is>
          <t>roll_net_withdrawals</t>
        </is>
      </c>
      <c r="C603" s="13" t="n">
        <v>-7714</v>
      </c>
      <c r="D603" s="13" t="inlineStr">
        <is>
          <t>supplement</t>
        </is>
      </c>
    </row>
    <row r="604">
      <c r="A604" s="13" t="inlineStr">
        <is>
          <t>4Q25</t>
        </is>
      </c>
      <c r="B604" s="13" t="inlineStr">
        <is>
          <t>roll_other</t>
        </is>
      </c>
      <c r="C604" s="13" t="n">
        <v>1931</v>
      </c>
      <c r="D604" s="13" t="inlineStr">
        <is>
          <t>supplement</t>
        </is>
      </c>
    </row>
    <row r="605">
      <c r="A605" s="13" t="inlineStr">
        <is>
          <t>4Q25</t>
        </is>
      </c>
      <c r="B605" s="13" t="inlineStr">
        <is>
          <t>sre</t>
        </is>
      </c>
      <c r="C605" s="13" t="n">
        <v>865</v>
      </c>
      <c r="D605" s="13" t="inlineStr">
        <is>
          <t>supplement</t>
        </is>
      </c>
    </row>
    <row r="606">
      <c r="A606" s="13" t="inlineStr">
        <is>
          <t>4Q25</t>
        </is>
      </c>
      <c r="B606" s="13" t="inlineStr">
        <is>
          <t>sre_alt_nii</t>
        </is>
      </c>
      <c r="C606" s="13" t="n">
        <v>344</v>
      </c>
      <c r="D606" s="13" t="inlineStr">
        <is>
          <t>supplement</t>
        </is>
      </c>
    </row>
    <row r="607">
      <c r="A607" s="13" t="inlineStr">
        <is>
          <t>4Q25</t>
        </is>
      </c>
      <c r="B607" s="13" t="inlineStr">
        <is>
          <t>sre_alt_nii_pct</t>
        </is>
      </c>
      <c r="C607" s="13" t="n">
        <v>10.19</v>
      </c>
      <c r="D607" s="13" t="inlineStr">
        <is>
          <t>supplement</t>
        </is>
      </c>
    </row>
    <row r="608">
      <c r="A608" s="13" t="inlineStr">
        <is>
          <t>4Q25</t>
        </is>
      </c>
      <c r="B608" s="13" t="inlineStr">
        <is>
          <t>sre_cof</t>
        </is>
      </c>
      <c r="C608" s="13" t="n">
        <v>-2742</v>
      </c>
      <c r="D608" s="13" t="inlineStr">
        <is>
          <t>supplement</t>
        </is>
      </c>
    </row>
    <row r="609">
      <c r="A609" s="13" t="inlineStr">
        <is>
          <t>4Q25</t>
        </is>
      </c>
      <c r="B609" s="13" t="inlineStr">
        <is>
          <t>sre_cof_pct</t>
        </is>
      </c>
      <c r="C609" s="13" t="n">
        <v>-3.79</v>
      </c>
      <c r="D609" s="13" t="inlineStr">
        <is>
          <t>supplement</t>
        </is>
      </c>
    </row>
    <row r="610">
      <c r="A610" s="13" t="inlineStr">
        <is>
          <t>4Q25</t>
        </is>
      </c>
      <c r="B610" s="13" t="inlineStr">
        <is>
          <t>sre_fees</t>
        </is>
      </c>
      <c r="C610" s="13" t="n">
        <v>35</v>
      </c>
      <c r="D610" s="13" t="inlineStr">
        <is>
          <t>supplement</t>
        </is>
      </c>
    </row>
    <row r="611">
      <c r="A611" s="13" t="inlineStr">
        <is>
          <t>4Q25</t>
        </is>
      </c>
      <c r="B611" s="13" t="inlineStr">
        <is>
          <t>sre_fees_pct</t>
        </is>
      </c>
      <c r="C611" s="13" t="n">
        <v>0.05</v>
      </c>
      <c r="D611" s="13" t="inlineStr">
        <is>
          <t>supplement</t>
        </is>
      </c>
    </row>
    <row r="612">
      <c r="A612" s="13" t="inlineStr">
        <is>
          <t>4Q25</t>
        </is>
      </c>
      <c r="B612" s="13" t="inlineStr">
        <is>
          <t>sre_fi_nii</t>
        </is>
      </c>
      <c r="C612" s="13" t="n">
        <v>3505</v>
      </c>
      <c r="D612" s="13" t="inlineStr">
        <is>
          <t>supplement</t>
        </is>
      </c>
    </row>
    <row r="613">
      <c r="A613" s="13" t="inlineStr">
        <is>
          <t>4Q25</t>
        </is>
      </c>
      <c r="B613" s="13" t="inlineStr">
        <is>
          <t>sre_fi_nii_pct</t>
        </is>
      </c>
      <c r="C613" s="13" t="n">
        <v>5.08</v>
      </c>
      <c r="D613" s="13" t="inlineStr">
        <is>
          <t>supplement</t>
        </is>
      </c>
    </row>
    <row r="614">
      <c r="A614" s="13" t="inlineStr">
        <is>
          <t>4Q25</t>
        </is>
      </c>
      <c r="B614" s="13" t="inlineStr">
        <is>
          <t>sre_fin</t>
        </is>
      </c>
      <c r="C614" s="13" t="n">
        <v>-158</v>
      </c>
      <c r="D614" s="13" t="inlineStr">
        <is>
          <t>supplement</t>
        </is>
      </c>
    </row>
    <row r="615">
      <c r="A615" s="13" t="inlineStr">
        <is>
          <t>4Q25</t>
        </is>
      </c>
      <c r="B615" s="13" t="inlineStr">
        <is>
          <t>sre_fin_pct</t>
        </is>
      </c>
      <c r="C615" s="13" t="n">
        <v>-0.22</v>
      </c>
      <c r="D615" s="13" t="inlineStr">
        <is>
          <t>supplement</t>
        </is>
      </c>
    </row>
    <row r="616">
      <c r="A616" s="13" t="inlineStr">
        <is>
          <t>4Q25</t>
        </is>
      </c>
      <c r="B616" s="13" t="inlineStr">
        <is>
          <t>sre_nie</t>
        </is>
      </c>
      <c r="C616" s="13" t="n">
        <v>3849</v>
      </c>
      <c r="D616" s="13" t="inlineStr">
        <is>
          <t>supplement</t>
        </is>
      </c>
    </row>
    <row r="617">
      <c r="A617" s="13" t="inlineStr">
        <is>
          <t>4Q25</t>
        </is>
      </c>
      <c r="B617" s="13" t="inlineStr">
        <is>
          <t>sre_nie_pct</t>
        </is>
      </c>
      <c r="C617" s="13" t="n">
        <v>5.32</v>
      </c>
      <c r="D617" s="13" t="inlineStr">
        <is>
          <t>supplement</t>
        </is>
      </c>
    </row>
    <row r="618">
      <c r="A618" s="13" t="inlineStr">
        <is>
          <t>4Q25</t>
        </is>
      </c>
      <c r="B618" s="13" t="inlineStr">
        <is>
          <t>sre_nis</t>
        </is>
      </c>
      <c r="C618" s="13" t="n">
        <v>1142</v>
      </c>
      <c r="D618" s="13" t="inlineStr">
        <is>
          <t>supplement</t>
        </is>
      </c>
    </row>
    <row r="619">
      <c r="A619" s="13" t="inlineStr">
        <is>
          <t>4Q25</t>
        </is>
      </c>
      <c r="B619" s="13" t="inlineStr">
        <is>
          <t>sre_nis_pct</t>
        </is>
      </c>
      <c r="C619" s="13" t="n">
        <v>1.58</v>
      </c>
      <c r="D619" s="13" t="inlineStr">
        <is>
          <t>supplement</t>
        </is>
      </c>
    </row>
    <row r="620">
      <c r="A620" s="13" t="inlineStr">
        <is>
          <t>4Q25</t>
        </is>
      </c>
      <c r="B620" s="13" t="inlineStr">
        <is>
          <t>sre_opex</t>
        </is>
      </c>
      <c r="C620" s="13" t="n">
        <v>-119</v>
      </c>
      <c r="D620" s="13" t="inlineStr">
        <is>
          <t>supplement</t>
        </is>
      </c>
    </row>
    <row r="621">
      <c r="A621" s="13" t="inlineStr">
        <is>
          <t>4Q25</t>
        </is>
      </c>
      <c r="B621" s="13" t="inlineStr">
        <is>
          <t>sre_opex_pct</t>
        </is>
      </c>
      <c r="C621" s="13" t="n">
        <v>-0.16</v>
      </c>
      <c r="D621" s="13" t="inlineStr">
        <is>
          <t>supplement</t>
        </is>
      </c>
    </row>
    <row r="622">
      <c r="A622" s="13" t="inlineStr">
        <is>
          <t>4Q25</t>
        </is>
      </c>
      <c r="B622" s="13" t="inlineStr">
        <is>
          <t>sre_pct</t>
        </is>
      </c>
      <c r="C622" s="13" t="n">
        <v>1.2</v>
      </c>
      <c r="D622" s="13" t="inlineStr">
        <is>
          <t>supplement</t>
        </is>
      </c>
    </row>
    <row r="623">
      <c r="A623" s="13" t="inlineStr">
        <is>
          <t>4Q25</t>
        </is>
      </c>
      <c r="B623" s="13" t="inlineStr">
        <is>
          <t>total_gross_inflows</t>
        </is>
      </c>
      <c r="C623" s="13" t="n">
        <v>14027</v>
      </c>
      <c r="D623" s="13" t="inlineStr">
        <is>
          <t>supplement</t>
        </is>
      </c>
    </row>
    <row r="624">
      <c r="A624" s="13" t="inlineStr">
        <is>
          <t>4Q25</t>
        </is>
      </c>
      <c r="B624" s="13" t="inlineStr">
        <is>
          <t>total_gross_inflows_check</t>
        </is>
      </c>
      <c r="C624" s="13" t="n">
        <v>14027</v>
      </c>
      <c r="D624" s="13" t="inlineStr">
        <is>
          <t>supplement</t>
        </is>
      </c>
    </row>
    <row r="625">
      <c r="A625" s="13" t="inlineStr">
        <is>
          <t>4Q25</t>
        </is>
      </c>
      <c r="B625" s="13" t="inlineStr">
        <is>
          <t>total_gross_outflows_check</t>
        </is>
      </c>
      <c r="C625" s="13" t="n">
        <v>-9268</v>
      </c>
      <c r="D625" s="13" t="inlineStr">
        <is>
          <t>supplement</t>
        </is>
      </c>
    </row>
    <row r="626">
      <c r="A626" s="13" t="inlineStr">
        <is>
          <t>FY2024</t>
        </is>
      </c>
      <c r="B626" s="13" t="inlineStr">
        <is>
          <t>acra_begin</t>
        </is>
      </c>
      <c r="C626" s="13" t="n">
        <v>56651</v>
      </c>
      <c r="D626" s="13" t="inlineStr">
        <is>
          <t>supplement</t>
        </is>
      </c>
    </row>
    <row r="627">
      <c r="A627" s="13" t="inlineStr">
        <is>
          <t>FY2024</t>
        </is>
      </c>
      <c r="B627" s="13" t="inlineStr">
        <is>
          <t>acra_end</t>
        </is>
      </c>
      <c r="C627" s="13" t="n">
        <v>72164</v>
      </c>
      <c r="D627" s="13" t="inlineStr">
        <is>
          <t>supplement</t>
        </is>
      </c>
    </row>
    <row r="628">
      <c r="A628" s="13" t="inlineStr">
        <is>
          <t>FY2024</t>
        </is>
      </c>
      <c r="B628" s="13" t="inlineStr">
        <is>
          <t>acra_inflows</t>
        </is>
      </c>
      <c r="C628" s="13" t="n">
        <v>18162</v>
      </c>
      <c r="D628" s="13" t="inlineStr">
        <is>
          <t>supplement</t>
        </is>
      </c>
    </row>
    <row r="629">
      <c r="A629" s="13" t="inlineStr">
        <is>
          <t>FY2024</t>
        </is>
      </c>
      <c r="B629" s="13" t="inlineStr">
        <is>
          <t>acra_other</t>
        </is>
      </c>
      <c r="C629" s="13" t="n">
        <v>1798</v>
      </c>
      <c r="D629" s="13" t="inlineStr">
        <is>
          <t>supplement</t>
        </is>
      </c>
    </row>
    <row r="630">
      <c r="A630" s="13" t="inlineStr">
        <is>
          <t>FY2024</t>
        </is>
      </c>
      <c r="B630" s="13" t="inlineStr">
        <is>
          <t>acra_own</t>
        </is>
      </c>
      <c r="C630" s="13" t="n">
        <v>1774</v>
      </c>
      <c r="D630" s="13" t="inlineStr">
        <is>
          <t>supplement</t>
        </is>
      </c>
    </row>
    <row r="631">
      <c r="A631" s="13" t="inlineStr">
        <is>
          <t>FY2024</t>
        </is>
      </c>
      <c r="B631" s="13" t="inlineStr">
        <is>
          <t>acra_withdrawals</t>
        </is>
      </c>
      <c r="C631" s="13" t="n">
        <v>-6221</v>
      </c>
      <c r="D631" s="13" t="inlineStr">
        <is>
          <t>supplement</t>
        </is>
      </c>
    </row>
    <row r="632">
      <c r="A632" s="13" t="inlineStr">
        <is>
          <t>FY2024</t>
        </is>
      </c>
      <c r="B632" s="13" t="inlineStr">
        <is>
          <t>avg_nia</t>
        </is>
      </c>
      <c r="C632" s="13" t="n">
        <v>233809</v>
      </c>
      <c r="D632" s="13" t="inlineStr">
        <is>
          <t>supplement</t>
        </is>
      </c>
    </row>
    <row r="633">
      <c r="A633" s="13" t="inlineStr">
        <is>
          <t>FY2024</t>
        </is>
      </c>
      <c r="B633" s="13" t="inlineStr">
        <is>
          <t>avg_nia_alt</t>
        </is>
      </c>
      <c r="C633" s="13" t="n">
        <v>11687</v>
      </c>
      <c r="D633" s="13" t="inlineStr">
        <is>
          <t>supplement</t>
        </is>
      </c>
    </row>
    <row r="634">
      <c r="A634" s="13" t="inlineStr">
        <is>
          <t>FY2024</t>
        </is>
      </c>
      <c r="B634" s="13" t="inlineStr">
        <is>
          <t>avg_nia_fi</t>
        </is>
      </c>
      <c r="C634" s="13" t="n">
        <v>222122</v>
      </c>
      <c r="D634" s="13" t="inlineStr">
        <is>
          <t>supplement</t>
        </is>
      </c>
    </row>
    <row r="635">
      <c r="A635" s="13" t="inlineStr">
        <is>
          <t>FY2024</t>
        </is>
      </c>
      <c r="B635" s="13" t="inlineStr">
        <is>
          <t>core_outflows</t>
        </is>
      </c>
      <c r="C635" s="13" t="n">
        <v>-27248</v>
      </c>
      <c r="D635" s="13" t="inlineStr">
        <is>
          <t>supplement</t>
        </is>
      </c>
    </row>
    <row r="636">
      <c r="A636" s="13" t="inlineStr">
        <is>
          <t>FY2024</t>
        </is>
      </c>
      <c r="B636" s="13" t="inlineStr">
        <is>
          <t>flow_reins</t>
        </is>
      </c>
      <c r="C636" s="13" t="n">
        <v>5573</v>
      </c>
      <c r="D636" s="13" t="inlineStr">
        <is>
          <t>supplement</t>
        </is>
      </c>
    </row>
    <row r="637">
      <c r="A637" s="13" t="inlineStr">
        <is>
          <t>FY2024</t>
        </is>
      </c>
      <c r="B637" s="13" t="inlineStr">
        <is>
          <t>funding_agreements</t>
        </is>
      </c>
      <c r="C637" s="13" t="n">
        <v>28748</v>
      </c>
      <c r="D637" s="13" t="inlineStr">
        <is>
          <t>supplement</t>
        </is>
      </c>
    </row>
    <row r="638">
      <c r="A638" s="13" t="inlineStr">
        <is>
          <t>FY2024</t>
        </is>
      </c>
      <c r="B638" s="13" t="inlineStr">
        <is>
          <t>gaap_dac</t>
        </is>
      </c>
      <c r="C638" s="13" t="n">
        <v>941</v>
      </c>
      <c r="D638" s="13" t="inlineStr">
        <is>
          <t>supplement</t>
        </is>
      </c>
    </row>
    <row r="639">
      <c r="A639" s="13" t="inlineStr">
        <is>
          <t>FY2024</t>
        </is>
      </c>
      <c r="B639" s="13" t="inlineStr">
        <is>
          <t>gaap_fpb</t>
        </is>
      </c>
      <c r="C639" s="13" t="n">
        <v>3054</v>
      </c>
      <c r="D639" s="13" t="inlineStr">
        <is>
          <t>supplement</t>
        </is>
      </c>
    </row>
    <row r="640">
      <c r="A640" s="13" t="inlineStr">
        <is>
          <t>FY2024</t>
        </is>
      </c>
      <c r="B640" s="13" t="inlineStr">
        <is>
          <t>gaap_inv_gl</t>
        </is>
      </c>
      <c r="C640" s="13" t="n">
        <v>2045</v>
      </c>
      <c r="D640" s="13" t="inlineStr">
        <is>
          <t>supplement</t>
        </is>
      </c>
    </row>
    <row r="641">
      <c r="A641" s="13" t="inlineStr">
        <is>
          <t>FY2024</t>
        </is>
      </c>
      <c r="B641" s="13" t="inlineStr">
        <is>
          <t>gaap_iscb</t>
        </is>
      </c>
      <c r="C641" s="13" t="n">
        <v>8949</v>
      </c>
      <c r="D641" s="13" t="inlineStr">
        <is>
          <t>supplement</t>
        </is>
      </c>
    </row>
    <row r="642">
      <c r="A642" s="13" t="inlineStr">
        <is>
          <t>FY2024</t>
        </is>
      </c>
      <c r="B642" s="13" t="inlineStr">
        <is>
          <t>gaap_mrb</t>
        </is>
      </c>
      <c r="C642" s="13" t="n">
        <v>-102</v>
      </c>
      <c r="D642" s="13" t="inlineStr">
        <is>
          <t>supplement</t>
        </is>
      </c>
    </row>
    <row r="643">
      <c r="A643" s="13" t="inlineStr">
        <is>
          <t>FY2024</t>
        </is>
      </c>
      <c r="B643" s="13" t="inlineStr">
        <is>
          <t>gaap_ni</t>
        </is>
      </c>
      <c r="C643" s="13" t="n">
        <v>4904</v>
      </c>
      <c r="D643" s="13" t="inlineStr">
        <is>
          <t>supplement</t>
        </is>
      </c>
    </row>
    <row r="644">
      <c r="A644" s="13" t="inlineStr">
        <is>
          <t>FY2024</t>
        </is>
      </c>
      <c r="B644" s="13" t="inlineStr">
        <is>
          <t>gaap_ni_ahl</t>
        </is>
      </c>
      <c r="C644" s="13" t="n">
        <v>3461</v>
      </c>
      <c r="D644" s="13" t="inlineStr">
        <is>
          <t>supplement</t>
        </is>
      </c>
    </row>
    <row r="645">
      <c r="A645" s="13" t="inlineStr">
        <is>
          <t>FY2024</t>
        </is>
      </c>
      <c r="B645" s="13" t="inlineStr">
        <is>
          <t>gaap_ni_common</t>
        </is>
      </c>
      <c r="C645" s="13" t="n">
        <v>3280</v>
      </c>
      <c r="D645" s="13" t="inlineStr">
        <is>
          <t>supplement</t>
        </is>
      </c>
    </row>
    <row r="646">
      <c r="A646" s="13" t="inlineStr">
        <is>
          <t>FY2024</t>
        </is>
      </c>
      <c r="B646" s="13" t="inlineStr">
        <is>
          <t>gaap_ni_nci</t>
        </is>
      </c>
      <c r="C646" s="13" t="n">
        <v>1443</v>
      </c>
      <c r="D646" s="13" t="inlineStr">
        <is>
          <t>supplement</t>
        </is>
      </c>
    </row>
    <row r="647">
      <c r="A647" s="13" t="inlineStr">
        <is>
          <t>FY2024</t>
        </is>
      </c>
      <c r="B647" s="13" t="inlineStr">
        <is>
          <t>gaap_nii</t>
        </is>
      </c>
      <c r="C647" s="13" t="n">
        <v>14481</v>
      </c>
      <c r="D647" s="13" t="inlineStr">
        <is>
          <t>supplement</t>
        </is>
      </c>
    </row>
    <row r="648">
      <c r="A648" s="13" t="inlineStr">
        <is>
          <t>FY2024</t>
        </is>
      </c>
      <c r="B648" s="13" t="inlineStr">
        <is>
          <t>gaap_opex</t>
        </is>
      </c>
      <c r="C648" s="13" t="n">
        <v>2213</v>
      </c>
      <c r="D648" s="13" t="inlineStr">
        <is>
          <t>supplement</t>
        </is>
      </c>
    </row>
    <row r="649">
      <c r="A649" s="13" t="inlineStr">
        <is>
          <t>FY2024</t>
        </is>
      </c>
      <c r="B649" s="13" t="inlineStr">
        <is>
          <t>gaap_other_rev</t>
        </is>
      </c>
      <c r="C649" s="13" t="n">
        <v>19</v>
      </c>
      <c r="D649" s="13" t="inlineStr">
        <is>
          <t>supplement</t>
        </is>
      </c>
    </row>
    <row r="650">
      <c r="A650" s="13" t="inlineStr">
        <is>
          <t>FY2024</t>
        </is>
      </c>
      <c r="B650" s="13" t="inlineStr">
        <is>
          <t>gaap_pref</t>
        </is>
      </c>
      <c r="C650" s="13" t="n">
        <v>181</v>
      </c>
      <c r="D650" s="13" t="inlineStr">
        <is>
          <t>supplement</t>
        </is>
      </c>
    </row>
    <row r="651">
      <c r="A651" s="13" t="inlineStr">
        <is>
          <t>FY2024</t>
        </is>
      </c>
      <c r="B651" s="13" t="inlineStr">
        <is>
          <t>gaap_pref_red</t>
        </is>
      </c>
      <c r="C651" s="13" t="n">
        <v>0</v>
      </c>
      <c r="D651" s="13" t="inlineStr">
        <is>
          <t>supplement</t>
        </is>
      </c>
    </row>
    <row r="652">
      <c r="A652" s="13" t="inlineStr">
        <is>
          <t>FY2024</t>
        </is>
      </c>
      <c r="B652" s="13" t="inlineStr">
        <is>
          <t>gaap_premiums</t>
        </is>
      </c>
      <c r="C652" s="13" t="n">
        <v>1318</v>
      </c>
      <c r="D652" s="13" t="inlineStr">
        <is>
          <t>supplement</t>
        </is>
      </c>
    </row>
    <row r="653">
      <c r="A653" s="13" t="inlineStr">
        <is>
          <t>FY2024</t>
        </is>
      </c>
      <c r="B653" s="13" t="inlineStr">
        <is>
          <t>gaap_pretax</t>
        </is>
      </c>
      <c r="C653" s="13" t="n">
        <v>5634</v>
      </c>
      <c r="D653" s="13" t="inlineStr">
        <is>
          <t>supplement</t>
        </is>
      </c>
    </row>
    <row r="654">
      <c r="A654" s="13" t="inlineStr">
        <is>
          <t>FY2024</t>
        </is>
      </c>
      <c r="B654" s="13" t="inlineStr">
        <is>
          <t>gaap_product_charges</t>
        </is>
      </c>
      <c r="C654" s="13" t="n">
        <v>1016</v>
      </c>
      <c r="D654" s="13" t="inlineStr">
        <is>
          <t>supplement</t>
        </is>
      </c>
    </row>
    <row r="655">
      <c r="A655" s="13" t="inlineStr">
        <is>
          <t>FY2024</t>
        </is>
      </c>
      <c r="B655" s="13" t="inlineStr">
        <is>
          <t>gaap_tax</t>
        </is>
      </c>
      <c r="C655" s="13" t="n">
        <v>730</v>
      </c>
      <c r="D655" s="13" t="inlineStr">
        <is>
          <t>supplement</t>
        </is>
      </c>
    </row>
    <row r="656">
      <c r="A656" s="13" t="inlineStr">
        <is>
          <t>FY2024</t>
        </is>
      </c>
      <c r="B656" s="13" t="inlineStr">
        <is>
          <t>gaap_total_be</t>
        </is>
      </c>
      <c r="C656" s="13" t="n">
        <v>15055</v>
      </c>
      <c r="D656" s="13" t="inlineStr">
        <is>
          <t>supplement</t>
        </is>
      </c>
    </row>
    <row r="657">
      <c r="A657" s="13" t="inlineStr">
        <is>
          <t>FY2024</t>
        </is>
      </c>
      <c r="B657" s="13" t="inlineStr">
        <is>
          <t>gaap_total_rev</t>
        </is>
      </c>
      <c r="C657" s="13" t="n">
        <v>20689</v>
      </c>
      <c r="D657" s="13" t="inlineStr">
        <is>
          <t>supplement</t>
        </is>
      </c>
    </row>
    <row r="658">
      <c r="A658" s="13" t="inlineStr">
        <is>
          <t>FY2024</t>
        </is>
      </c>
      <c r="B658" s="13" t="inlineStr">
        <is>
          <t>gaap_vie_gl</t>
        </is>
      </c>
      <c r="C658" s="13" t="n">
        <v>1528</v>
      </c>
      <c r="D658" s="13" t="inlineStr">
        <is>
          <t>supplement</t>
        </is>
      </c>
    </row>
    <row r="659">
      <c r="A659" s="13" t="inlineStr">
        <is>
          <t>FY2024</t>
        </is>
      </c>
      <c r="B659" s="13" t="inlineStr">
        <is>
          <t>gaap_vie_nii</t>
        </is>
      </c>
      <c r="C659" s="13" t="n">
        <v>282</v>
      </c>
      <c r="D659" s="13" t="inlineStr">
        <is>
          <t>supplement</t>
        </is>
      </c>
    </row>
    <row r="660">
      <c r="A660" s="13" t="inlineStr">
        <is>
          <t>FY2024</t>
        </is>
      </c>
      <c r="B660" s="13" t="inlineStr">
        <is>
          <t>gross_inorganic</t>
        </is>
      </c>
      <c r="C660" s="13" t="n">
        <v>0</v>
      </c>
      <c r="D660" s="13" t="inlineStr">
        <is>
          <t>supplement</t>
        </is>
      </c>
    </row>
    <row r="661">
      <c r="A661" s="13" t="inlineStr">
        <is>
          <t>FY2024</t>
        </is>
      </c>
      <c r="B661" s="13" t="inlineStr">
        <is>
          <t>gross_organic</t>
        </is>
      </c>
      <c r="C661" s="13" t="n">
        <v>71003</v>
      </c>
      <c r="D661" s="13" t="inlineStr">
        <is>
          <t>supplement</t>
        </is>
      </c>
    </row>
    <row r="662">
      <c r="A662" s="13" t="inlineStr">
        <is>
          <t>FY2024</t>
        </is>
      </c>
      <c r="B662" s="13" t="inlineStr">
        <is>
          <t>gross_outflows</t>
        </is>
      </c>
      <c r="C662" s="13" t="n">
        <v>-33469</v>
      </c>
      <c r="D662" s="13" t="inlineStr">
        <is>
          <t>supplement</t>
        </is>
      </c>
    </row>
    <row r="663">
      <c r="A663" s="13" t="inlineStr">
        <is>
          <t>FY2024</t>
        </is>
      </c>
      <c r="B663" s="13" t="inlineStr">
        <is>
          <t>inflows_adip</t>
        </is>
      </c>
      <c r="C663" s="13" t="n">
        <v>17848</v>
      </c>
      <c r="D663" s="13" t="inlineStr">
        <is>
          <t>supplement</t>
        </is>
      </c>
    </row>
    <row r="664">
      <c r="A664" s="13" t="inlineStr">
        <is>
          <t>FY2024</t>
        </is>
      </c>
      <c r="B664" s="13" t="inlineStr">
        <is>
          <t>inflows_athene</t>
        </is>
      </c>
      <c r="C664" s="13" t="n">
        <v>49084</v>
      </c>
      <c r="D664" s="13" t="inlineStr">
        <is>
          <t>supplement</t>
        </is>
      </c>
    </row>
    <row r="665">
      <c r="A665" s="13" t="inlineStr">
        <is>
          <t>FY2024</t>
        </is>
      </c>
      <c r="B665" s="13" t="inlineStr">
        <is>
          <t>inflows_ceded_3p</t>
        </is>
      </c>
      <c r="C665" s="13" t="n">
        <v>4071</v>
      </c>
      <c r="D665" s="13" t="inlineStr">
        <is>
          <t>supplement</t>
        </is>
      </c>
    </row>
    <row r="666">
      <c r="A666" s="13" t="inlineStr">
        <is>
          <t>FY2024</t>
        </is>
      </c>
      <c r="B666" s="13" t="inlineStr">
        <is>
          <t>net_flows</t>
        </is>
      </c>
      <c r="C666" s="13" t="n">
        <v>37534</v>
      </c>
      <c r="D666" s="13" t="inlineStr">
        <is>
          <t>supplement</t>
        </is>
      </c>
    </row>
    <row r="667">
      <c r="A667" s="13" t="inlineStr">
        <is>
          <t>FY2024</t>
        </is>
      </c>
      <c r="B667" s="13" t="inlineStr">
        <is>
          <t>nrl_begin</t>
        </is>
      </c>
      <c r="C667" s="13" t="n">
        <v>199289</v>
      </c>
      <c r="D667" s="13" t="inlineStr">
        <is>
          <t>supplement</t>
        </is>
      </c>
    </row>
    <row r="668">
      <c r="A668" s="13" t="inlineStr">
        <is>
          <t>FY2024</t>
        </is>
      </c>
      <c r="B668" s="13" t="inlineStr">
        <is>
          <t>nrl_end</t>
        </is>
      </c>
      <c r="C668" s="13" t="n">
        <v>225926</v>
      </c>
      <c r="D668" s="13" t="inlineStr">
        <is>
          <t>supplement</t>
        </is>
      </c>
    </row>
    <row r="669">
      <c r="A669" s="13" t="inlineStr">
        <is>
          <t>FY2024</t>
        </is>
      </c>
      <c r="B669" s="13" t="inlineStr">
        <is>
          <t>other_spread</t>
        </is>
      </c>
      <c r="C669" s="13" t="n">
        <v>0</v>
      </c>
      <c r="D669" s="13" t="inlineStr">
        <is>
          <t>supplement</t>
        </is>
      </c>
    </row>
    <row r="670">
      <c r="A670" s="13" t="inlineStr">
        <is>
          <t>FY2024</t>
        </is>
      </c>
      <c r="B670" s="13" t="inlineStr">
        <is>
          <t>outflow_income_planned</t>
        </is>
      </c>
      <c r="C670" s="13" t="n">
        <v>-6427</v>
      </c>
      <c r="D670" s="13" t="inlineStr">
        <is>
          <t>supplement</t>
        </is>
      </c>
    </row>
    <row r="671">
      <c r="A671" s="13" t="inlineStr">
        <is>
          <t>FY2024</t>
        </is>
      </c>
      <c r="B671" s="13" t="inlineStr">
        <is>
          <t>outflow_isc_unplanned</t>
        </is>
      </c>
      <c r="C671" s="13" t="n">
        <v>-3127</v>
      </c>
      <c r="D671" s="13" t="inlineStr">
        <is>
          <t>supplement</t>
        </is>
      </c>
    </row>
    <row r="672">
      <c r="A672" s="13" t="inlineStr">
        <is>
          <t>FY2024</t>
        </is>
      </c>
      <c r="B672" s="13" t="inlineStr">
        <is>
          <t>outflow_maturity_driven</t>
        </is>
      </c>
      <c r="C672" s="13" t="n">
        <v>-12096</v>
      </c>
      <c r="D672" s="13" t="inlineStr">
        <is>
          <t>supplement</t>
        </is>
      </c>
    </row>
    <row r="673">
      <c r="A673" s="13" t="inlineStr">
        <is>
          <t>FY2024</t>
        </is>
      </c>
      <c r="B673" s="13" t="inlineStr">
        <is>
          <t>outflow_oosc_planned</t>
        </is>
      </c>
      <c r="C673" s="13" t="n">
        <v>-5598</v>
      </c>
      <c r="D673" s="13" t="inlineStr">
        <is>
          <t>supplement</t>
        </is>
      </c>
    </row>
    <row r="674">
      <c r="A674" s="13" t="inlineStr">
        <is>
          <t>FY2024</t>
        </is>
      </c>
      <c r="B674" s="13" t="inlineStr">
        <is>
          <t>outflow_policyholder</t>
        </is>
      </c>
      <c r="C674" s="13" t="n">
        <v>-15152</v>
      </c>
      <c r="D674" s="13" t="inlineStr">
        <is>
          <t>supplement</t>
        </is>
      </c>
    </row>
    <row r="675">
      <c r="A675" s="13" t="inlineStr">
        <is>
          <t>FY2024</t>
        </is>
      </c>
      <c r="B675" s="13" t="inlineStr">
        <is>
          <t>outflows_adip</t>
        </is>
      </c>
      <c r="C675" s="13" t="n">
        <v>-6221</v>
      </c>
      <c r="D675" s="13" t="inlineStr">
        <is>
          <t>supplement</t>
        </is>
      </c>
    </row>
    <row r="676">
      <c r="A676" s="13" t="inlineStr">
        <is>
          <t>FY2024</t>
        </is>
      </c>
      <c r="B676" s="13" t="inlineStr">
        <is>
          <t>outflows_athene</t>
        </is>
      </c>
      <c r="C676" s="13" t="n">
        <v>-27248</v>
      </c>
      <c r="D676" s="13" t="inlineStr">
        <is>
          <t>supplement</t>
        </is>
      </c>
    </row>
    <row r="677">
      <c r="A677" s="13" t="inlineStr">
        <is>
          <t>FY2024</t>
        </is>
      </c>
      <c r="B677" s="13" t="inlineStr">
        <is>
          <t>pga</t>
        </is>
      </c>
      <c r="C677" s="13" t="n">
        <v>918</v>
      </c>
      <c r="D677" s="13" t="inlineStr">
        <is>
          <t>supplement</t>
        </is>
      </c>
    </row>
    <row r="678">
      <c r="A678" s="13" t="inlineStr">
        <is>
          <t>FY2024</t>
        </is>
      </c>
      <c r="B678" s="13" t="inlineStr">
        <is>
          <t>retail</t>
        </is>
      </c>
      <c r="C678" s="13" t="n">
        <v>35764</v>
      </c>
      <c r="D678" s="13" t="inlineStr">
        <is>
          <t>supplement</t>
        </is>
      </c>
    </row>
    <row r="679">
      <c r="A679" s="13" t="inlineStr">
        <is>
          <t>FY2024</t>
        </is>
      </c>
      <c r="B679" s="13" t="inlineStr">
        <is>
          <t>roll_acra_nci</t>
        </is>
      </c>
      <c r="C679" s="13" t="n">
        <v>-18162</v>
      </c>
      <c r="D679" s="13" t="inlineStr">
        <is>
          <t>supplement</t>
        </is>
      </c>
    </row>
    <row r="680">
      <c r="A680" s="13" t="inlineStr">
        <is>
          <t>FY2024</t>
        </is>
      </c>
      <c r="B680" s="13" t="inlineStr">
        <is>
          <t>roll_acra_own</t>
        </is>
      </c>
      <c r="C680" s="13" t="n">
        <v>-1774</v>
      </c>
      <c r="D680" s="13" t="inlineStr">
        <is>
          <t>supplement</t>
        </is>
      </c>
    </row>
    <row r="681">
      <c r="A681" s="13" t="inlineStr">
        <is>
          <t>FY2024</t>
        </is>
      </c>
      <c r="B681" s="13" t="inlineStr">
        <is>
          <t>roll_block</t>
        </is>
      </c>
      <c r="C681" s="13" t="n">
        <v>0</v>
      </c>
      <c r="D681" s="13" t="inlineStr">
        <is>
          <t>supplement</t>
        </is>
      </c>
    </row>
    <row r="682">
      <c r="A682" s="13" t="inlineStr">
        <is>
          <t>FY2024</t>
        </is>
      </c>
      <c r="B682" s="13" t="inlineStr">
        <is>
          <t>roll_ceded_3p</t>
        </is>
      </c>
      <c r="C682" s="13" t="n">
        <v>-4134</v>
      </c>
      <c r="D682" s="13" t="inlineStr">
        <is>
          <t>supplement</t>
        </is>
      </c>
    </row>
    <row r="683">
      <c r="A683" s="13" t="inlineStr">
        <is>
          <t>FY2024</t>
        </is>
      </c>
      <c r="B683" s="13" t="inlineStr">
        <is>
          <t>roll_gross_inflows</t>
        </is>
      </c>
      <c r="C683" s="13" t="n">
        <v>72153</v>
      </c>
      <c r="D683" s="13" t="inlineStr">
        <is>
          <t>supplement</t>
        </is>
      </c>
    </row>
    <row r="684">
      <c r="A684" s="13" t="inlineStr">
        <is>
          <t>FY2024</t>
        </is>
      </c>
      <c r="B684" s="13" t="inlineStr">
        <is>
          <t>roll_net_inflows</t>
        </is>
      </c>
      <c r="C684" s="13" t="n">
        <v>49857</v>
      </c>
      <c r="D684" s="13" t="inlineStr">
        <is>
          <t>supplement</t>
        </is>
      </c>
    </row>
    <row r="685">
      <c r="A685" s="13" t="inlineStr">
        <is>
          <t>FY2024</t>
        </is>
      </c>
      <c r="B685" s="13" t="inlineStr">
        <is>
          <t>roll_net_withdrawals</t>
        </is>
      </c>
      <c r="C685" s="13" t="n">
        <v>-27248</v>
      </c>
      <c r="D685" s="13" t="inlineStr">
        <is>
          <t>supplement</t>
        </is>
      </c>
    </row>
    <row r="686">
      <c r="A686" s="13" t="inlineStr">
        <is>
          <t>FY2024</t>
        </is>
      </c>
      <c r="B686" s="13" t="inlineStr">
        <is>
          <t>roll_other</t>
        </is>
      </c>
      <c r="C686" s="13" t="n">
        <v>5802</v>
      </c>
      <c r="D686" s="13" t="inlineStr">
        <is>
          <t>supplement</t>
        </is>
      </c>
    </row>
    <row r="687">
      <c r="A687" s="13" t="inlineStr">
        <is>
          <t>FY2024</t>
        </is>
      </c>
      <c r="B687" s="13" t="inlineStr">
        <is>
          <t>sre</t>
        </is>
      </c>
      <c r="C687" s="13" t="n">
        <v>3221</v>
      </c>
      <c r="D687" s="13" t="inlineStr">
        <is>
          <t>supplement</t>
        </is>
      </c>
    </row>
    <row r="688">
      <c r="A688" s="13" t="inlineStr">
        <is>
          <t>FY2024</t>
        </is>
      </c>
      <c r="B688" s="13" t="inlineStr">
        <is>
          <t>sre_alt_nii</t>
        </is>
      </c>
      <c r="C688" s="13" t="n">
        <v>939</v>
      </c>
      <c r="D688" s="13" t="inlineStr">
        <is>
          <t>supplement</t>
        </is>
      </c>
    </row>
    <row r="689">
      <c r="A689" s="13" t="inlineStr">
        <is>
          <t>FY2024</t>
        </is>
      </c>
      <c r="B689" s="13" t="inlineStr">
        <is>
          <t>sre_alt_nii_pct</t>
        </is>
      </c>
      <c r="C689" s="13" t="n">
        <v>8.029999999999999</v>
      </c>
      <c r="D689" s="13" t="inlineStr">
        <is>
          <t>supplement</t>
        </is>
      </c>
    </row>
    <row r="690">
      <c r="A690" s="13" t="inlineStr">
        <is>
          <t>FY2024</t>
        </is>
      </c>
      <c r="B690" s="13" t="inlineStr">
        <is>
          <t>sre_cof</t>
        </is>
      </c>
      <c r="C690" s="13" t="n">
        <v>-7702</v>
      </c>
      <c r="D690" s="13" t="inlineStr">
        <is>
          <t>supplement</t>
        </is>
      </c>
    </row>
    <row r="691">
      <c r="A691" s="13" t="inlineStr">
        <is>
          <t>FY2024</t>
        </is>
      </c>
      <c r="B691" s="13" t="inlineStr">
        <is>
          <t>sre_cof_pct</t>
        </is>
      </c>
      <c r="C691" s="13" t="n">
        <v>-3.29</v>
      </c>
      <c r="D691" s="13" t="inlineStr">
        <is>
          <t>supplement</t>
        </is>
      </c>
    </row>
    <row r="692">
      <c r="A692" s="13" t="inlineStr">
        <is>
          <t>FY2024</t>
        </is>
      </c>
      <c r="B692" s="13" t="inlineStr">
        <is>
          <t>sre_fees</t>
        </is>
      </c>
      <c r="C692" s="13" t="n">
        <v>105</v>
      </c>
      <c r="D692" s="13" t="inlineStr">
        <is>
          <t>supplement</t>
        </is>
      </c>
    </row>
    <row r="693">
      <c r="A693" s="13" t="inlineStr">
        <is>
          <t>FY2024</t>
        </is>
      </c>
      <c r="B693" s="13" t="inlineStr">
        <is>
          <t>sre_fees_pct</t>
        </is>
      </c>
      <c r="C693" s="13" t="n">
        <v>0.04</v>
      </c>
      <c r="D693" s="13" t="inlineStr">
        <is>
          <t>supplement</t>
        </is>
      </c>
    </row>
    <row r="694">
      <c r="A694" s="13" t="inlineStr">
        <is>
          <t>FY2024</t>
        </is>
      </c>
      <c r="B694" s="13" t="inlineStr">
        <is>
          <t>sre_fi_nii</t>
        </is>
      </c>
      <c r="C694" s="13" t="n">
        <v>10811</v>
      </c>
      <c r="D694" s="13" t="inlineStr">
        <is>
          <t>supplement</t>
        </is>
      </c>
    </row>
    <row r="695">
      <c r="A695" s="13" t="inlineStr">
        <is>
          <t>FY2024</t>
        </is>
      </c>
      <c r="B695" s="13" t="inlineStr">
        <is>
          <t>sre_fi_nii_pct</t>
        </is>
      </c>
      <c r="C695" s="13" t="n">
        <v>4.87</v>
      </c>
      <c r="D695" s="13" t="inlineStr">
        <is>
          <t>supplement</t>
        </is>
      </c>
    </row>
    <row r="696">
      <c r="A696" s="13" t="inlineStr">
        <is>
          <t>FY2024</t>
        </is>
      </c>
      <c r="B696" s="13" t="inlineStr">
        <is>
          <t>sre_fin</t>
        </is>
      </c>
      <c r="C696" s="13" t="n">
        <v>-465</v>
      </c>
      <c r="D696" s="13" t="inlineStr">
        <is>
          <t>supplement</t>
        </is>
      </c>
    </row>
    <row r="697">
      <c r="A697" s="13" t="inlineStr">
        <is>
          <t>FY2024</t>
        </is>
      </c>
      <c r="B697" s="13" t="inlineStr">
        <is>
          <t>sre_fin_pct</t>
        </is>
      </c>
      <c r="C697" s="13" t="n">
        <v>-0.2</v>
      </c>
      <c r="D697" s="13" t="inlineStr">
        <is>
          <t>supplement</t>
        </is>
      </c>
    </row>
    <row r="698">
      <c r="A698" s="13" t="inlineStr">
        <is>
          <t>FY2024</t>
        </is>
      </c>
      <c r="B698" s="13" t="inlineStr">
        <is>
          <t>sre_nie</t>
        </is>
      </c>
      <c r="C698" s="13" t="n">
        <v>11750</v>
      </c>
      <c r="D698" s="13" t="inlineStr">
        <is>
          <t>supplement</t>
        </is>
      </c>
    </row>
    <row r="699">
      <c r="A699" s="13" t="inlineStr">
        <is>
          <t>FY2024</t>
        </is>
      </c>
      <c r="B699" s="13" t="inlineStr">
        <is>
          <t>sre_nie_pct</t>
        </is>
      </c>
      <c r="C699" s="13" t="n">
        <v>5.03</v>
      </c>
      <c r="D699" s="13" t="inlineStr">
        <is>
          <t>supplement</t>
        </is>
      </c>
    </row>
    <row r="700">
      <c r="A700" s="13" t="inlineStr">
        <is>
          <t>FY2024</t>
        </is>
      </c>
      <c r="B700" s="13" t="inlineStr">
        <is>
          <t>sre_nis</t>
        </is>
      </c>
      <c r="C700" s="13" t="n">
        <v>4153</v>
      </c>
      <c r="D700" s="13" t="inlineStr">
        <is>
          <t>supplement</t>
        </is>
      </c>
    </row>
    <row r="701">
      <c r="A701" s="13" t="inlineStr">
        <is>
          <t>FY2024</t>
        </is>
      </c>
      <c r="B701" s="13" t="inlineStr">
        <is>
          <t>sre_nis_pct</t>
        </is>
      </c>
      <c r="C701" s="13" t="n">
        <v>1.78</v>
      </c>
      <c r="D701" s="13" t="inlineStr">
        <is>
          <t>supplement</t>
        </is>
      </c>
    </row>
    <row r="702">
      <c r="A702" s="13" t="inlineStr">
        <is>
          <t>FY2024</t>
        </is>
      </c>
      <c r="B702" s="13" t="inlineStr">
        <is>
          <t>sre_opex</t>
        </is>
      </c>
      <c r="C702" s="13" t="n">
        <v>-467</v>
      </c>
      <c r="D702" s="13" t="inlineStr">
        <is>
          <t>supplement</t>
        </is>
      </c>
    </row>
    <row r="703">
      <c r="A703" s="13" t="inlineStr">
        <is>
          <t>FY2024</t>
        </is>
      </c>
      <c r="B703" s="13" t="inlineStr">
        <is>
          <t>sre_opex_pct</t>
        </is>
      </c>
      <c r="C703" s="13" t="n">
        <v>-0.2</v>
      </c>
      <c r="D703" s="13" t="inlineStr">
        <is>
          <t>supplement</t>
        </is>
      </c>
    </row>
    <row r="704">
      <c r="A704" s="13" t="inlineStr">
        <is>
          <t>FY2024</t>
        </is>
      </c>
      <c r="B704" s="13" t="inlineStr">
        <is>
          <t>sre_pct</t>
        </is>
      </c>
      <c r="C704" s="13" t="n">
        <v>1.38</v>
      </c>
      <c r="D704" s="13" t="inlineStr">
        <is>
          <t>supplement</t>
        </is>
      </c>
    </row>
    <row r="705">
      <c r="A705" s="13" t="inlineStr">
        <is>
          <t>FY2024</t>
        </is>
      </c>
      <c r="B705" s="13" t="inlineStr">
        <is>
          <t>total_gross_inflows</t>
        </is>
      </c>
      <c r="C705" s="13" t="n">
        <v>71003</v>
      </c>
      <c r="D705" s="13" t="inlineStr">
        <is>
          <t>supplement</t>
        </is>
      </c>
    </row>
    <row r="706">
      <c r="A706" s="13" t="inlineStr">
        <is>
          <t>FY2024</t>
        </is>
      </c>
      <c r="B706" s="13" t="inlineStr">
        <is>
          <t>total_gross_inflows_check</t>
        </is>
      </c>
      <c r="C706" s="13" t="n">
        <v>71003</v>
      </c>
      <c r="D706" s="13" t="inlineStr">
        <is>
          <t>supplement</t>
        </is>
      </c>
    </row>
    <row r="707">
      <c r="A707" s="13" t="inlineStr">
        <is>
          <t>FY2024</t>
        </is>
      </c>
      <c r="B707" s="13" t="inlineStr">
        <is>
          <t>total_gross_outflows_check</t>
        </is>
      </c>
      <c r="C707" s="13" t="n">
        <v>-33469</v>
      </c>
      <c r="D707" s="13" t="inlineStr">
        <is>
          <t>supplement</t>
        </is>
      </c>
    </row>
    <row r="708">
      <c r="A708" s="13" t="inlineStr">
        <is>
          <t>FY2025</t>
        </is>
      </c>
      <c r="B708" s="13" t="inlineStr">
        <is>
          <t>acra_begin</t>
        </is>
      </c>
      <c r="C708" s="13" t="n">
        <v>72164</v>
      </c>
      <c r="D708" s="13" t="inlineStr">
        <is>
          <t>supplement</t>
        </is>
      </c>
    </row>
    <row r="709">
      <c r="A709" s="13" t="inlineStr">
        <is>
          <t>FY2025</t>
        </is>
      </c>
      <c r="B709" s="13" t="inlineStr">
        <is>
          <t>acra_end</t>
        </is>
      </c>
      <c r="C709" s="13" t="n">
        <v>89725</v>
      </c>
      <c r="D709" s="13" t="inlineStr">
        <is>
          <t>supplement</t>
        </is>
      </c>
    </row>
    <row r="710">
      <c r="A710" s="13" t="inlineStr">
        <is>
          <t>FY2025</t>
        </is>
      </c>
      <c r="B710" s="13" t="inlineStr">
        <is>
          <t>acra_inflows</t>
        </is>
      </c>
      <c r="C710" s="13" t="n">
        <v>18992</v>
      </c>
      <c r="D710" s="13" t="inlineStr">
        <is>
          <t>supplement</t>
        </is>
      </c>
    </row>
    <row r="711">
      <c r="A711" s="13" t="inlineStr">
        <is>
          <t>FY2025</t>
        </is>
      </c>
      <c r="B711" s="13" t="inlineStr">
        <is>
          <t>acra_other</t>
        </is>
      </c>
      <c r="C711" s="13" t="n">
        <v>4372</v>
      </c>
      <c r="D711" s="13" t="inlineStr">
        <is>
          <t>supplement</t>
        </is>
      </c>
    </row>
    <row r="712">
      <c r="A712" s="13" t="inlineStr">
        <is>
          <t>FY2025</t>
        </is>
      </c>
      <c r="B712" s="13" t="inlineStr">
        <is>
          <t>acra_own</t>
        </is>
      </c>
      <c r="C712" s="13" t="n">
        <v>0</v>
      </c>
      <c r="D712" s="13" t="inlineStr">
        <is>
          <t>supplement</t>
        </is>
      </c>
    </row>
    <row r="713">
      <c r="A713" s="13" t="inlineStr">
        <is>
          <t>FY2025</t>
        </is>
      </c>
      <c r="B713" s="13" t="inlineStr">
        <is>
          <t>acra_withdrawals</t>
        </is>
      </c>
      <c r="C713" s="13" t="n">
        <v>-5803</v>
      </c>
      <c r="D713" s="13" t="inlineStr">
        <is>
          <t>supplement</t>
        </is>
      </c>
    </row>
    <row r="714">
      <c r="A714" s="13" t="inlineStr">
        <is>
          <t>FY2025</t>
        </is>
      </c>
      <c r="B714" s="13" t="inlineStr">
        <is>
          <t>avg_nia</t>
        </is>
      </c>
      <c r="C714" s="13" t="n">
        <v>272928</v>
      </c>
      <c r="D714" s="13" t="inlineStr">
        <is>
          <t>supplement</t>
        </is>
      </c>
    </row>
    <row r="715">
      <c r="A715" s="13" t="inlineStr">
        <is>
          <t>FY2025</t>
        </is>
      </c>
      <c r="B715" s="13" t="inlineStr">
        <is>
          <t>avg_nia_alt</t>
        </is>
      </c>
      <c r="C715" s="13" t="n">
        <v>12976</v>
      </c>
      <c r="D715" s="13" t="inlineStr">
        <is>
          <t>supplement</t>
        </is>
      </c>
    </row>
    <row r="716">
      <c r="A716" s="13" t="inlineStr">
        <is>
          <t>FY2025</t>
        </is>
      </c>
      <c r="B716" s="13" t="inlineStr">
        <is>
          <t>avg_nia_fi</t>
        </is>
      </c>
      <c r="C716" s="13" t="n">
        <v>259952</v>
      </c>
      <c r="D716" s="13" t="inlineStr">
        <is>
          <t>supplement</t>
        </is>
      </c>
    </row>
    <row r="717">
      <c r="A717" s="13" t="inlineStr">
        <is>
          <t>FY2025</t>
        </is>
      </c>
      <c r="B717" s="13" t="inlineStr">
        <is>
          <t>core_outflows</t>
        </is>
      </c>
      <c r="C717" s="13" t="n">
        <v>-29725</v>
      </c>
      <c r="D717" s="13" t="inlineStr">
        <is>
          <t>supplement</t>
        </is>
      </c>
    </row>
    <row r="718">
      <c r="A718" s="13" t="inlineStr">
        <is>
          <t>FY2025</t>
        </is>
      </c>
      <c r="B718" s="13" t="inlineStr">
        <is>
          <t>flow_reins</t>
        </is>
      </c>
      <c r="C718" s="13" t="n">
        <v>11171</v>
      </c>
      <c r="D718" s="13" t="inlineStr">
        <is>
          <t>supplement</t>
        </is>
      </c>
    </row>
    <row r="719">
      <c r="A719" s="13" t="inlineStr">
        <is>
          <t>FY2025</t>
        </is>
      </c>
      <c r="B719" s="13" t="inlineStr">
        <is>
          <t>funding_agreements</t>
        </is>
      </c>
      <c r="C719" s="13" t="n">
        <v>35375</v>
      </c>
      <c r="D719" s="13" t="inlineStr">
        <is>
          <t>supplement</t>
        </is>
      </c>
    </row>
    <row r="720">
      <c r="A720" s="13" t="inlineStr">
        <is>
          <t>FY2025</t>
        </is>
      </c>
      <c r="B720" s="13" t="inlineStr">
        <is>
          <t>gaap_dac</t>
        </is>
      </c>
      <c r="C720" s="13" t="n">
        <v>1242</v>
      </c>
      <c r="D720" s="13" t="inlineStr">
        <is>
          <t>supplement</t>
        </is>
      </c>
    </row>
    <row r="721">
      <c r="A721" s="13" t="inlineStr">
        <is>
          <t>FY2025</t>
        </is>
      </c>
      <c r="B721" s="13" t="inlineStr">
        <is>
          <t>gaap_fpb</t>
        </is>
      </c>
      <c r="C721" s="13" t="n">
        <v>4433</v>
      </c>
      <c r="D721" s="13" t="inlineStr">
        <is>
          <t>supplement</t>
        </is>
      </c>
    </row>
    <row r="722">
      <c r="A722" s="13" t="inlineStr">
        <is>
          <t>FY2025</t>
        </is>
      </c>
      <c r="B722" s="13" t="inlineStr">
        <is>
          <t>gaap_inv_gl</t>
        </is>
      </c>
      <c r="C722" s="13" t="n">
        <v>1544</v>
      </c>
      <c r="D722" s="13" t="inlineStr">
        <is>
          <t>supplement</t>
        </is>
      </c>
    </row>
    <row r="723">
      <c r="A723" s="13" t="inlineStr">
        <is>
          <t>FY2025</t>
        </is>
      </c>
      <c r="B723" s="13" t="inlineStr">
        <is>
          <t>gaap_iscb</t>
        </is>
      </c>
      <c r="C723" s="13" t="n">
        <v>12089</v>
      </c>
      <c r="D723" s="13" t="inlineStr">
        <is>
          <t>supplement</t>
        </is>
      </c>
    </row>
    <row r="724">
      <c r="A724" s="13" t="inlineStr">
        <is>
          <t>FY2025</t>
        </is>
      </c>
      <c r="B724" s="13" t="inlineStr">
        <is>
          <t>gaap_mrb</t>
        </is>
      </c>
      <c r="C724" s="13" t="n">
        <v>452</v>
      </c>
      <c r="D724" s="13" t="inlineStr">
        <is>
          <t>supplement</t>
        </is>
      </c>
    </row>
    <row r="725">
      <c r="A725" s="13" t="inlineStr">
        <is>
          <t>FY2025</t>
        </is>
      </c>
      <c r="B725" s="13" t="inlineStr">
        <is>
          <t>gaap_ni</t>
        </is>
      </c>
      <c r="C725" s="13" t="n">
        <v>4221</v>
      </c>
      <c r="D725" s="13" t="inlineStr">
        <is>
          <t>supplement</t>
        </is>
      </c>
    </row>
    <row r="726">
      <c r="A726" s="13" t="inlineStr">
        <is>
          <t>FY2025</t>
        </is>
      </c>
      <c r="B726" s="13" t="inlineStr">
        <is>
          <t>gaap_ni_ahl</t>
        </is>
      </c>
      <c r="C726" s="13" t="n">
        <v>2711</v>
      </c>
      <c r="D726" s="13" t="inlineStr">
        <is>
          <t>supplement</t>
        </is>
      </c>
    </row>
    <row r="727">
      <c r="A727" s="13" t="inlineStr">
        <is>
          <t>FY2025</t>
        </is>
      </c>
      <c r="B727" s="13" t="inlineStr">
        <is>
          <t>gaap_ni_common</t>
        </is>
      </c>
      <c r="C727" s="13" t="n">
        <v>2634</v>
      </c>
      <c r="D727" s="13" t="inlineStr">
        <is>
          <t>supplement</t>
        </is>
      </c>
    </row>
    <row r="728">
      <c r="A728" s="13" t="inlineStr">
        <is>
          <t>FY2025</t>
        </is>
      </c>
      <c r="B728" s="13" t="inlineStr">
        <is>
          <t>gaap_ni_nci</t>
        </is>
      </c>
      <c r="C728" s="13" t="n">
        <v>1510</v>
      </c>
      <c r="D728" s="13" t="inlineStr">
        <is>
          <t>supplement</t>
        </is>
      </c>
    </row>
    <row r="729">
      <c r="A729" s="13" t="inlineStr">
        <is>
          <t>FY2025</t>
        </is>
      </c>
      <c r="B729" s="13" t="inlineStr">
        <is>
          <t>gaap_nii</t>
        </is>
      </c>
      <c r="C729" s="13" t="n">
        <v>17847</v>
      </c>
      <c r="D729" s="13" t="inlineStr">
        <is>
          <t>supplement</t>
        </is>
      </c>
    </row>
    <row r="730">
      <c r="A730" s="13" t="inlineStr">
        <is>
          <t>FY2025</t>
        </is>
      </c>
      <c r="B730" s="13" t="inlineStr">
        <is>
          <t>gaap_opex</t>
        </is>
      </c>
      <c r="C730" s="13" t="n">
        <v>2354</v>
      </c>
      <c r="D730" s="13" t="inlineStr">
        <is>
          <t>supplement</t>
        </is>
      </c>
    </row>
    <row r="731">
      <c r="A731" s="13" t="inlineStr">
        <is>
          <t>FY2025</t>
        </is>
      </c>
      <c r="B731" s="13" t="inlineStr">
        <is>
          <t>gaap_other_rev</t>
        </is>
      </c>
      <c r="C731" s="13" t="n">
        <v>25</v>
      </c>
      <c r="D731" s="13" t="inlineStr">
        <is>
          <t>supplement</t>
        </is>
      </c>
    </row>
    <row r="732">
      <c r="A732" s="13" t="inlineStr">
        <is>
          <t>FY2025</t>
        </is>
      </c>
      <c r="B732" s="13" t="inlineStr">
        <is>
          <t>gaap_pref</t>
        </is>
      </c>
      <c r="C732" s="13" t="n">
        <v>161</v>
      </c>
      <c r="D732" s="13" t="inlineStr">
        <is>
          <t>supplement</t>
        </is>
      </c>
    </row>
    <row r="733">
      <c r="A733" s="13" t="inlineStr">
        <is>
          <t>FY2025</t>
        </is>
      </c>
      <c r="B733" s="13" t="inlineStr">
        <is>
          <t>gaap_pref_red</t>
        </is>
      </c>
      <c r="C733" s="13" t="n">
        <v>84</v>
      </c>
      <c r="D733" s="13" t="inlineStr">
        <is>
          <t>supplement</t>
        </is>
      </c>
    </row>
    <row r="734">
      <c r="A734" s="13" t="inlineStr">
        <is>
          <t>FY2025</t>
        </is>
      </c>
      <c r="B734" s="13" t="inlineStr">
        <is>
          <t>gaap_premiums</t>
        </is>
      </c>
      <c r="C734" s="13" t="n">
        <v>2628</v>
      </c>
      <c r="D734" s="13" t="inlineStr">
        <is>
          <t>supplement</t>
        </is>
      </c>
    </row>
    <row r="735">
      <c r="A735" s="13" t="inlineStr">
        <is>
          <t>FY2025</t>
        </is>
      </c>
      <c r="B735" s="13" t="inlineStr">
        <is>
          <t>gaap_pretax</t>
        </is>
      </c>
      <c r="C735" s="13" t="n">
        <v>5107</v>
      </c>
      <c r="D735" s="13" t="inlineStr">
        <is>
          <t>supplement</t>
        </is>
      </c>
    </row>
    <row r="736">
      <c r="A736" s="13" t="inlineStr">
        <is>
          <t>FY2025</t>
        </is>
      </c>
      <c r="B736" s="13" t="inlineStr">
        <is>
          <t>gaap_product_charges</t>
        </is>
      </c>
      <c r="C736" s="13" t="n">
        <v>1137</v>
      </c>
      <c r="D736" s="13" t="inlineStr">
        <is>
          <t>supplement</t>
        </is>
      </c>
    </row>
    <row r="737">
      <c r="A737" s="13" t="inlineStr">
        <is>
          <t>FY2025</t>
        </is>
      </c>
      <c r="B737" s="13" t="inlineStr">
        <is>
          <t>gaap_tax</t>
        </is>
      </c>
      <c r="C737" s="13" t="n">
        <v>886</v>
      </c>
      <c r="D737" s="13" t="inlineStr">
        <is>
          <t>supplement</t>
        </is>
      </c>
    </row>
    <row r="738">
      <c r="A738" s="13" t="inlineStr">
        <is>
          <t>FY2025</t>
        </is>
      </c>
      <c r="B738" s="13" t="inlineStr">
        <is>
          <t>gaap_total_be</t>
        </is>
      </c>
      <c r="C738" s="13" t="n">
        <v>20570</v>
      </c>
      <c r="D738" s="13" t="inlineStr">
        <is>
          <t>supplement</t>
        </is>
      </c>
    </row>
    <row r="739">
      <c r="A739" s="13" t="inlineStr">
        <is>
          <t>FY2025</t>
        </is>
      </c>
      <c r="B739" s="13" t="inlineStr">
        <is>
          <t>gaap_total_rev</t>
        </is>
      </c>
      <c r="C739" s="13" t="n">
        <v>25677</v>
      </c>
      <c r="D739" s="13" t="inlineStr">
        <is>
          <t>supplement</t>
        </is>
      </c>
    </row>
    <row r="740">
      <c r="A740" s="13" t="inlineStr">
        <is>
          <t>FY2025</t>
        </is>
      </c>
      <c r="B740" s="13" t="inlineStr">
        <is>
          <t>gaap_vie_gl</t>
        </is>
      </c>
      <c r="C740" s="13" t="n">
        <v>2215</v>
      </c>
      <c r="D740" s="13" t="inlineStr">
        <is>
          <t>supplement</t>
        </is>
      </c>
    </row>
    <row r="741">
      <c r="A741" s="13" t="inlineStr">
        <is>
          <t>FY2025</t>
        </is>
      </c>
      <c r="B741" s="13" t="inlineStr">
        <is>
          <t>gaap_vie_nii</t>
        </is>
      </c>
      <c r="C741" s="13" t="n">
        <v>281</v>
      </c>
      <c r="D741" s="13" t="inlineStr">
        <is>
          <t>supplement</t>
        </is>
      </c>
    </row>
    <row r="742">
      <c r="A742" s="13" t="inlineStr">
        <is>
          <t>FY2025</t>
        </is>
      </c>
      <c r="B742" s="13" t="inlineStr">
        <is>
          <t>gross_inorganic</t>
        </is>
      </c>
      <c r="C742" s="13" t="n">
        <v>1340</v>
      </c>
      <c r="D742" s="13" t="inlineStr">
        <is>
          <t>supplement</t>
        </is>
      </c>
    </row>
    <row r="743">
      <c r="A743" s="13" t="inlineStr">
        <is>
          <t>FY2025</t>
        </is>
      </c>
      <c r="B743" s="13" t="inlineStr">
        <is>
          <t>gross_organic</t>
        </is>
      </c>
      <c r="C743" s="13" t="n">
        <v>82098</v>
      </c>
      <c r="D743" s="13" t="inlineStr">
        <is>
          <t>supplement</t>
        </is>
      </c>
    </row>
    <row r="744">
      <c r="A744" s="13" t="inlineStr">
        <is>
          <t>FY2025</t>
        </is>
      </c>
      <c r="B744" s="13" t="inlineStr">
        <is>
          <t>gross_outflows</t>
        </is>
      </c>
      <c r="C744" s="13" t="n">
        <v>-35528</v>
      </c>
      <c r="D744" s="13" t="inlineStr">
        <is>
          <t>supplement</t>
        </is>
      </c>
    </row>
    <row r="745">
      <c r="A745" s="13" t="inlineStr">
        <is>
          <t>FY2025</t>
        </is>
      </c>
      <c r="B745" s="13" t="inlineStr">
        <is>
          <t>inflows_adip</t>
        </is>
      </c>
      <c r="C745" s="13" t="n">
        <v>18452</v>
      </c>
      <c r="D745" s="13" t="inlineStr">
        <is>
          <t>supplement</t>
        </is>
      </c>
    </row>
    <row r="746">
      <c r="A746" s="13" t="inlineStr">
        <is>
          <t>FY2025</t>
        </is>
      </c>
      <c r="B746" s="13" t="inlineStr">
        <is>
          <t>inflows_athene</t>
        </is>
      </c>
      <c r="C746" s="13" t="n">
        <v>63236</v>
      </c>
      <c r="D746" s="13" t="inlineStr">
        <is>
          <t>supplement</t>
        </is>
      </c>
    </row>
    <row r="747">
      <c r="A747" s="13" t="inlineStr">
        <is>
          <t>FY2025</t>
        </is>
      </c>
      <c r="B747" s="13" t="inlineStr">
        <is>
          <t>inflows_ceded_3p</t>
        </is>
      </c>
      <c r="C747" s="13" t="n">
        <v>1750</v>
      </c>
      <c r="D747" s="13" t="inlineStr">
        <is>
          <t>supplement</t>
        </is>
      </c>
    </row>
    <row r="748">
      <c r="A748" s="13" t="inlineStr">
        <is>
          <t>FY2025</t>
        </is>
      </c>
      <c r="B748" s="13" t="inlineStr">
        <is>
          <t>net_flows</t>
        </is>
      </c>
      <c r="C748" s="13" t="n">
        <v>47910</v>
      </c>
      <c r="D748" s="13" t="inlineStr">
        <is>
          <t>supplement</t>
        </is>
      </c>
    </row>
    <row r="749">
      <c r="A749" s="13" t="inlineStr">
        <is>
          <t>FY2025</t>
        </is>
      </c>
      <c r="B749" s="13" t="inlineStr">
        <is>
          <t>nrl_begin</t>
        </is>
      </c>
      <c r="C749" s="13" t="n">
        <v>225926</v>
      </c>
      <c r="D749" s="13" t="inlineStr">
        <is>
          <t>supplement</t>
        </is>
      </c>
    </row>
    <row r="750">
      <c r="A750" s="13" t="inlineStr">
        <is>
          <t>FY2025</t>
        </is>
      </c>
      <c r="B750" s="13" t="inlineStr">
        <is>
          <t>nrl_end</t>
        </is>
      </c>
      <c r="C750" s="13" t="n">
        <v>271233</v>
      </c>
      <c r="D750" s="13" t="inlineStr">
        <is>
          <t>supplement</t>
        </is>
      </c>
    </row>
    <row r="751">
      <c r="A751" s="13" t="inlineStr">
        <is>
          <t>FY2025</t>
        </is>
      </c>
      <c r="B751" s="13" t="inlineStr">
        <is>
          <t>other_spread</t>
        </is>
      </c>
      <c r="C751" s="13" t="n">
        <v>674</v>
      </c>
      <c r="D751" s="13" t="inlineStr">
        <is>
          <t>supplement</t>
        </is>
      </c>
    </row>
    <row r="752">
      <c r="A752" s="13" t="inlineStr">
        <is>
          <t>FY2025</t>
        </is>
      </c>
      <c r="B752" s="13" t="inlineStr">
        <is>
          <t>outflow_income_planned</t>
        </is>
      </c>
      <c r="C752" s="13" t="n">
        <v>-6871</v>
      </c>
      <c r="D752" s="13" t="inlineStr">
        <is>
          <t>supplement</t>
        </is>
      </c>
    </row>
    <row r="753">
      <c r="A753" s="13" t="inlineStr">
        <is>
          <t>FY2025</t>
        </is>
      </c>
      <c r="B753" s="13" t="inlineStr">
        <is>
          <t>outflow_isc_unplanned</t>
        </is>
      </c>
      <c r="C753" s="13" t="n">
        <v>-3390</v>
      </c>
      <c r="D753" s="13" t="inlineStr">
        <is>
          <t>supplement</t>
        </is>
      </c>
    </row>
    <row r="754">
      <c r="A754" s="13" t="inlineStr">
        <is>
          <t>FY2025</t>
        </is>
      </c>
      <c r="B754" s="13" t="inlineStr">
        <is>
          <t>outflow_maturity_driven</t>
        </is>
      </c>
      <c r="C754" s="13" t="n">
        <v>-15090</v>
      </c>
      <c r="D754" s="13" t="inlineStr">
        <is>
          <t>supplement</t>
        </is>
      </c>
    </row>
    <row r="755">
      <c r="A755" s="13" t="inlineStr">
        <is>
          <t>FY2025</t>
        </is>
      </c>
      <c r="B755" s="13" t="inlineStr">
        <is>
          <t>outflow_oosc_planned</t>
        </is>
      </c>
      <c r="C755" s="13" t="n">
        <v>-4374</v>
      </c>
      <c r="D755" s="13" t="inlineStr">
        <is>
          <t>supplement</t>
        </is>
      </c>
    </row>
    <row r="756">
      <c r="A756" s="13" t="inlineStr">
        <is>
          <t>FY2025</t>
        </is>
      </c>
      <c r="B756" s="13" t="inlineStr">
        <is>
          <t>outflow_policyholder</t>
        </is>
      </c>
      <c r="C756" s="13" t="n">
        <v>-14635</v>
      </c>
      <c r="D756" s="13" t="inlineStr">
        <is>
          <t>supplement</t>
        </is>
      </c>
    </row>
    <row r="757">
      <c r="A757" s="13" t="inlineStr">
        <is>
          <t>FY2025</t>
        </is>
      </c>
      <c r="B757" s="13" t="inlineStr">
        <is>
          <t>outflows_adip</t>
        </is>
      </c>
      <c r="C757" s="13" t="n">
        <v>-5803</v>
      </c>
      <c r="D757" s="13" t="inlineStr">
        <is>
          <t>supplement</t>
        </is>
      </c>
    </row>
    <row r="758">
      <c r="A758" s="13" t="inlineStr">
        <is>
          <t>FY2025</t>
        </is>
      </c>
      <c r="B758" s="13" t="inlineStr">
        <is>
          <t>outflows_athene</t>
        </is>
      </c>
      <c r="C758" s="13" t="n">
        <v>-29725</v>
      </c>
      <c r="D758" s="13" t="inlineStr">
        <is>
          <t>supplement</t>
        </is>
      </c>
    </row>
    <row r="759">
      <c r="A759" s="13" t="inlineStr">
        <is>
          <t>FY2025</t>
        </is>
      </c>
      <c r="B759" s="13" t="inlineStr">
        <is>
          <t>pga</t>
        </is>
      </c>
      <c r="C759" s="13" t="n">
        <v>751</v>
      </c>
      <c r="D759" s="13" t="inlineStr">
        <is>
          <t>supplement</t>
        </is>
      </c>
    </row>
    <row r="760">
      <c r="A760" s="13" t="inlineStr">
        <is>
          <t>FY2025</t>
        </is>
      </c>
      <c r="B760" s="13" t="inlineStr">
        <is>
          <t>retail</t>
        </is>
      </c>
      <c r="C760" s="13" t="n">
        <v>34127</v>
      </c>
      <c r="D760" s="13" t="inlineStr">
        <is>
          <t>supplement</t>
        </is>
      </c>
    </row>
    <row r="761">
      <c r="A761" s="13" t="inlineStr">
        <is>
          <t>FY2025</t>
        </is>
      </c>
      <c r="B761" s="13" t="inlineStr">
        <is>
          <t>roll_acra_nci</t>
        </is>
      </c>
      <c r="C761" s="13" t="n">
        <v>-18992</v>
      </c>
      <c r="D761" s="13" t="inlineStr">
        <is>
          <t>supplement</t>
        </is>
      </c>
    </row>
    <row r="762">
      <c r="A762" s="13" t="inlineStr">
        <is>
          <t>FY2025</t>
        </is>
      </c>
      <c r="B762" s="13" t="inlineStr">
        <is>
          <t>roll_acra_own</t>
        </is>
      </c>
      <c r="C762" s="13" t="n">
        <v>0</v>
      </c>
      <c r="D762" s="13" t="inlineStr">
        <is>
          <t>supplement</t>
        </is>
      </c>
    </row>
    <row r="763">
      <c r="A763" s="13" t="inlineStr">
        <is>
          <t>FY2025</t>
        </is>
      </c>
      <c r="B763" s="13" t="inlineStr">
        <is>
          <t>roll_block</t>
        </is>
      </c>
      <c r="C763" s="13" t="n">
        <v>1340</v>
      </c>
      <c r="D763" s="13" t="inlineStr">
        <is>
          <t>supplement</t>
        </is>
      </c>
    </row>
    <row r="764">
      <c r="A764" s="13" t="inlineStr">
        <is>
          <t>FY2025</t>
        </is>
      </c>
      <c r="B764" s="13" t="inlineStr">
        <is>
          <t>roll_ceded_3p</t>
        </is>
      </c>
      <c r="C764" s="13" t="n">
        <v>-1750</v>
      </c>
      <c r="D764" s="13" t="inlineStr">
        <is>
          <t>supplement</t>
        </is>
      </c>
    </row>
    <row r="765">
      <c r="A765" s="13" t="inlineStr">
        <is>
          <t>FY2025</t>
        </is>
      </c>
      <c r="B765" s="13" t="inlineStr">
        <is>
          <t>roll_gross_inflows</t>
        </is>
      </c>
      <c r="C765" s="13" t="n">
        <v>84060</v>
      </c>
      <c r="D765" s="13" t="inlineStr">
        <is>
          <t>supplement</t>
        </is>
      </c>
    </row>
    <row r="766">
      <c r="A766" s="13" t="inlineStr">
        <is>
          <t>FY2025</t>
        </is>
      </c>
      <c r="B766" s="13" t="inlineStr">
        <is>
          <t>roll_net_inflows</t>
        </is>
      </c>
      <c r="C766" s="13" t="n">
        <v>64658</v>
      </c>
      <c r="D766" s="13" t="inlineStr">
        <is>
          <t>supplement</t>
        </is>
      </c>
    </row>
    <row r="767">
      <c r="A767" s="13" t="inlineStr">
        <is>
          <t>FY2025</t>
        </is>
      </c>
      <c r="B767" s="13" t="inlineStr">
        <is>
          <t>roll_net_withdrawals</t>
        </is>
      </c>
      <c r="C767" s="13" t="n">
        <v>-29725</v>
      </c>
      <c r="D767" s="13" t="inlineStr">
        <is>
          <t>supplement</t>
        </is>
      </c>
    </row>
    <row r="768">
      <c r="A768" s="13" t="inlineStr">
        <is>
          <t>FY2025</t>
        </is>
      </c>
      <c r="B768" s="13" t="inlineStr">
        <is>
          <t>roll_other</t>
        </is>
      </c>
      <c r="C768" s="13" t="n">
        <v>10374</v>
      </c>
      <c r="D768" s="13" t="inlineStr">
        <is>
          <t>supplement</t>
        </is>
      </c>
    </row>
    <row r="769">
      <c r="A769" s="13" t="inlineStr">
        <is>
          <t>FY2025</t>
        </is>
      </c>
      <c r="B769" s="13" t="inlineStr">
        <is>
          <t>sre</t>
        </is>
      </c>
      <c r="C769" s="13" t="n">
        <v>3361</v>
      </c>
      <c r="D769" s="13" t="inlineStr">
        <is>
          <t>supplement</t>
        </is>
      </c>
    </row>
    <row r="770">
      <c r="A770" s="13" t="inlineStr">
        <is>
          <t>FY2025</t>
        </is>
      </c>
      <c r="B770" s="13" t="inlineStr">
        <is>
          <t>sre_alt_nii</t>
        </is>
      </c>
      <c r="C770" s="13" t="n">
        <v>1299</v>
      </c>
      <c r="D770" s="13" t="inlineStr">
        <is>
          <t>supplement</t>
        </is>
      </c>
    </row>
    <row r="771">
      <c r="A771" s="13" t="inlineStr">
        <is>
          <t>FY2025</t>
        </is>
      </c>
      <c r="B771" s="13" t="inlineStr">
        <is>
          <t>sre_alt_nii_pct</t>
        </is>
      </c>
      <c r="C771" s="13" t="n">
        <v>10.01</v>
      </c>
      <c r="D771" s="13" t="inlineStr">
        <is>
          <t>supplement</t>
        </is>
      </c>
    </row>
    <row r="772">
      <c r="A772" s="13" t="inlineStr">
        <is>
          <t>FY2025</t>
        </is>
      </c>
      <c r="B772" s="13" t="inlineStr">
        <is>
          <t>sre_cof</t>
        </is>
      </c>
      <c r="C772" s="13" t="n">
        <v>-10083</v>
      </c>
      <c r="D772" s="13" t="inlineStr">
        <is>
          <t>supplement</t>
        </is>
      </c>
    </row>
    <row r="773">
      <c r="A773" s="13" t="inlineStr">
        <is>
          <t>FY2025</t>
        </is>
      </c>
      <c r="B773" s="13" t="inlineStr">
        <is>
          <t>sre_cof_pct</t>
        </is>
      </c>
      <c r="C773" s="13" t="n">
        <v>-3.69</v>
      </c>
      <c r="D773" s="13" t="inlineStr">
        <is>
          <t>supplement</t>
        </is>
      </c>
    </row>
    <row r="774">
      <c r="A774" s="13" t="inlineStr">
        <is>
          <t>FY2025</t>
        </is>
      </c>
      <c r="B774" s="13" t="inlineStr">
        <is>
          <t>sre_fees</t>
        </is>
      </c>
      <c r="C774" s="13" t="n">
        <v>131</v>
      </c>
      <c r="D774" s="13" t="inlineStr">
        <is>
          <t>supplement</t>
        </is>
      </c>
    </row>
    <row r="775">
      <c r="A775" s="13" t="inlineStr">
        <is>
          <t>FY2025</t>
        </is>
      </c>
      <c r="B775" s="13" t="inlineStr">
        <is>
          <t>sre_fees_pct</t>
        </is>
      </c>
      <c r="C775" s="13" t="n">
        <v>0.05</v>
      </c>
      <c r="D775" s="13" t="inlineStr">
        <is>
          <t>supplement</t>
        </is>
      </c>
    </row>
    <row r="776">
      <c r="A776" s="13" t="inlineStr">
        <is>
          <t>FY2025</t>
        </is>
      </c>
      <c r="B776" s="13" t="inlineStr">
        <is>
          <t>sre_fi_nii</t>
        </is>
      </c>
      <c r="C776" s="13" t="n">
        <v>13026</v>
      </c>
      <c r="D776" s="13" t="inlineStr">
        <is>
          <t>supplement</t>
        </is>
      </c>
    </row>
    <row r="777">
      <c r="A777" s="13" t="inlineStr">
        <is>
          <t>FY2025</t>
        </is>
      </c>
      <c r="B777" s="13" t="inlineStr">
        <is>
          <t>sre_fi_nii_pct</t>
        </is>
      </c>
      <c r="C777" s="13" t="n">
        <v>5.01</v>
      </c>
      <c r="D777" s="13" t="inlineStr">
        <is>
          <t>supplement</t>
        </is>
      </c>
    </row>
    <row r="778">
      <c r="A778" s="13" t="inlineStr">
        <is>
          <t>FY2025</t>
        </is>
      </c>
      <c r="B778" s="13" t="inlineStr">
        <is>
          <t>sre_fin</t>
        </is>
      </c>
      <c r="C778" s="13" t="n">
        <v>-560</v>
      </c>
      <c r="D778" s="13" t="inlineStr">
        <is>
          <t>supplement</t>
        </is>
      </c>
    </row>
    <row r="779">
      <c r="A779" s="13" t="inlineStr">
        <is>
          <t>FY2025</t>
        </is>
      </c>
      <c r="B779" s="13" t="inlineStr">
        <is>
          <t>sre_fin_pct</t>
        </is>
      </c>
      <c r="C779" s="13" t="n">
        <v>-0.21</v>
      </c>
      <c r="D779" s="13" t="inlineStr">
        <is>
          <t>supplement</t>
        </is>
      </c>
    </row>
    <row r="780">
      <c r="A780" s="13" t="inlineStr">
        <is>
          <t>FY2025</t>
        </is>
      </c>
      <c r="B780" s="13" t="inlineStr">
        <is>
          <t>sre_nie</t>
        </is>
      </c>
      <c r="C780" s="13" t="n">
        <v>14325</v>
      </c>
      <c r="D780" s="13" t="inlineStr">
        <is>
          <t>supplement</t>
        </is>
      </c>
    </row>
    <row r="781">
      <c r="A781" s="13" t="inlineStr">
        <is>
          <t>FY2025</t>
        </is>
      </c>
      <c r="B781" s="13" t="inlineStr">
        <is>
          <t>sre_nie_pct</t>
        </is>
      </c>
      <c r="C781" s="13" t="n">
        <v>5.25</v>
      </c>
      <c r="D781" s="13" t="inlineStr">
        <is>
          <t>supplement</t>
        </is>
      </c>
    </row>
    <row r="782">
      <c r="A782" s="13" t="inlineStr">
        <is>
          <t>FY2025</t>
        </is>
      </c>
      <c r="B782" s="13" t="inlineStr">
        <is>
          <t>sre_nis</t>
        </is>
      </c>
      <c r="C782" s="13" t="n">
        <v>4373</v>
      </c>
      <c r="D782" s="13" t="inlineStr">
        <is>
          <t>supplement</t>
        </is>
      </c>
    </row>
    <row r="783">
      <c r="A783" s="13" t="inlineStr">
        <is>
          <t>FY2025</t>
        </is>
      </c>
      <c r="B783" s="13" t="inlineStr">
        <is>
          <t>sre_nis_pct</t>
        </is>
      </c>
      <c r="C783" s="13" t="n">
        <v>1.61</v>
      </c>
      <c r="D783" s="13" t="inlineStr">
        <is>
          <t>supplement</t>
        </is>
      </c>
    </row>
    <row r="784">
      <c r="A784" s="13" t="inlineStr">
        <is>
          <t>FY2025</t>
        </is>
      </c>
      <c r="B784" s="13" t="inlineStr">
        <is>
          <t>sre_opex</t>
        </is>
      </c>
      <c r="C784" s="13" t="n">
        <v>-452</v>
      </c>
      <c r="D784" s="13" t="inlineStr">
        <is>
          <t>supplement</t>
        </is>
      </c>
    </row>
    <row r="785">
      <c r="A785" s="13" t="inlineStr">
        <is>
          <t>FY2025</t>
        </is>
      </c>
      <c r="B785" s="13" t="inlineStr">
        <is>
          <t>sre_opex_pct</t>
        </is>
      </c>
      <c r="C785" s="13" t="n">
        <v>-0.17</v>
      </c>
      <c r="D785" s="13" t="inlineStr">
        <is>
          <t>supplement</t>
        </is>
      </c>
    </row>
    <row r="786">
      <c r="A786" s="13" t="inlineStr">
        <is>
          <t>FY2025</t>
        </is>
      </c>
      <c r="B786" s="13" t="inlineStr">
        <is>
          <t>sre_pct</t>
        </is>
      </c>
      <c r="C786" s="13" t="n">
        <v>1.23</v>
      </c>
      <c r="D786" s="13" t="inlineStr">
        <is>
          <t>supplement</t>
        </is>
      </c>
    </row>
    <row r="787">
      <c r="A787" s="13" t="inlineStr">
        <is>
          <t>FY2025</t>
        </is>
      </c>
      <c r="B787" s="13" t="inlineStr">
        <is>
          <t>total_gross_inflows</t>
        </is>
      </c>
      <c r="C787" s="13" t="n">
        <v>83438</v>
      </c>
      <c r="D787" s="13" t="inlineStr">
        <is>
          <t>supplement</t>
        </is>
      </c>
    </row>
    <row r="788">
      <c r="A788" s="13" t="inlineStr">
        <is>
          <t>FY2025</t>
        </is>
      </c>
      <c r="B788" s="13" t="inlineStr">
        <is>
          <t>total_gross_inflows_check</t>
        </is>
      </c>
      <c r="C788" s="13" t="n">
        <v>83438</v>
      </c>
      <c r="D788" s="13" t="inlineStr">
        <is>
          <t>supplement</t>
        </is>
      </c>
    </row>
    <row r="789">
      <c r="A789" s="13" t="inlineStr">
        <is>
          <t>FY2025</t>
        </is>
      </c>
      <c r="B789" s="13" t="inlineStr">
        <is>
          <t>total_gross_outflows_check</t>
        </is>
      </c>
      <c r="C789" s="13" t="n">
        <v>-35528</v>
      </c>
      <c r="D789" s="13" t="inlineStr">
        <is>
          <t>supplement</t>
        </is>
      </c>
    </row>
    <row r="790">
      <c r="A790" s="13" t="inlineStr">
        <is>
          <t>FY2023</t>
        </is>
      </c>
      <c r="B790" s="13" t="inlineStr">
        <is>
          <t>eq_ahl_total</t>
        </is>
      </c>
      <c r="C790" s="13" t="n">
        <v>13838</v>
      </c>
      <c r="D790" s="13" t="inlineStr">
        <is>
          <t>10-K MD&amp;A</t>
        </is>
      </c>
    </row>
    <row r="791">
      <c r="A791" s="13" t="inlineStr">
        <is>
          <t>FY2023</t>
        </is>
      </c>
      <c r="B791" s="13" t="inlineStr">
        <is>
          <t>eq_nci</t>
        </is>
      </c>
      <c r="C791" s="13" t="n">
        <v>7397</v>
      </c>
      <c r="D791" s="13" t="inlineStr">
        <is>
          <t>10-K MD&amp;A</t>
        </is>
      </c>
    </row>
    <row r="792">
      <c r="A792" s="13" t="inlineStr">
        <is>
          <t>FY2023</t>
        </is>
      </c>
      <c r="B792" s="13" t="inlineStr">
        <is>
          <t>eq_total</t>
        </is>
      </c>
      <c r="C792" s="13" t="n">
        <v>21235</v>
      </c>
      <c r="D792" s="13" t="inlineStr">
        <is>
          <t>10-K MD&amp;A</t>
        </is>
      </c>
    </row>
    <row r="793">
      <c r="A793" s="13" t="inlineStr">
        <is>
          <t>FY2023</t>
        </is>
      </c>
      <c r="B793" s="13" t="inlineStr">
        <is>
          <t>flow_reins</t>
        </is>
      </c>
      <c r="C793" s="13" t="n">
        <v>10547</v>
      </c>
      <c r="D793" s="13" t="inlineStr">
        <is>
          <t>10-K MD&amp;A</t>
        </is>
      </c>
    </row>
    <row r="794">
      <c r="A794" s="13" t="inlineStr">
        <is>
          <t>FY2023</t>
        </is>
      </c>
      <c r="B794" s="13" t="inlineStr">
        <is>
          <t>funding_agreements</t>
        </is>
      </c>
      <c r="C794" s="13" t="n">
        <v>7193</v>
      </c>
      <c r="D794" s="13" t="inlineStr">
        <is>
          <t>10-K MD&amp;A</t>
        </is>
      </c>
    </row>
    <row r="795">
      <c r="A795" s="13" t="inlineStr">
        <is>
          <t>FY2023</t>
        </is>
      </c>
      <c r="B795" s="13" t="inlineStr">
        <is>
          <t>gaap_ni</t>
        </is>
      </c>
      <c r="C795" s="13" t="n">
        <v>5752</v>
      </c>
      <c r="D795" s="13" t="inlineStr">
        <is>
          <t>10-K MD&amp;A</t>
        </is>
      </c>
    </row>
    <row r="796">
      <c r="A796" s="13" t="inlineStr">
        <is>
          <t>FY2023</t>
        </is>
      </c>
      <c r="B796" s="13" t="inlineStr">
        <is>
          <t>gaap_ni_ahl</t>
        </is>
      </c>
      <c r="C796" s="13" t="n">
        <v>4665</v>
      </c>
      <c r="D796" s="13" t="inlineStr">
        <is>
          <t>10-K MD&amp;A</t>
        </is>
      </c>
    </row>
    <row r="797">
      <c r="A797" s="13" t="inlineStr">
        <is>
          <t>FY2023</t>
        </is>
      </c>
      <c r="B797" s="13" t="inlineStr">
        <is>
          <t>gaap_ni_common</t>
        </is>
      </c>
      <c r="C797" s="13" t="n">
        <v>4484</v>
      </c>
      <c r="D797" s="13" t="inlineStr">
        <is>
          <t>10-K MD&amp;A</t>
        </is>
      </c>
    </row>
    <row r="798">
      <c r="A798" s="13" t="inlineStr">
        <is>
          <t>FY2023</t>
        </is>
      </c>
      <c r="B798" s="13" t="inlineStr">
        <is>
          <t>gaap_ni_nci</t>
        </is>
      </c>
      <c r="C798" s="13" t="n">
        <v>1087</v>
      </c>
      <c r="D798" s="13" t="inlineStr">
        <is>
          <t>10-K MD&amp;A</t>
        </is>
      </c>
    </row>
    <row r="799">
      <c r="A799" s="13" t="inlineStr">
        <is>
          <t>FY2023</t>
        </is>
      </c>
      <c r="B799" s="13" t="inlineStr">
        <is>
          <t>gaap_pref</t>
        </is>
      </c>
      <c r="C799" s="13" t="n">
        <v>181</v>
      </c>
      <c r="D799" s="13" t="inlineStr">
        <is>
          <t>10-K MD&amp;A</t>
        </is>
      </c>
    </row>
    <row r="800">
      <c r="A800" s="13" t="inlineStr">
        <is>
          <t>FY2023</t>
        </is>
      </c>
      <c r="B800" s="13" t="inlineStr">
        <is>
          <t>gaap_pref_red</t>
        </is>
      </c>
      <c r="C800" s="13" t="n">
        <v>0</v>
      </c>
      <c r="D800" s="13" t="inlineStr">
        <is>
          <t>10-K MD&amp;A</t>
        </is>
      </c>
    </row>
    <row r="801">
      <c r="A801" s="13" t="inlineStr">
        <is>
          <t>FY2023</t>
        </is>
      </c>
      <c r="B801" s="13" t="inlineStr">
        <is>
          <t>gross_inorganic</t>
        </is>
      </c>
      <c r="C801" s="13" t="n">
        <v>2214</v>
      </c>
      <c r="D801" s="13" t="inlineStr">
        <is>
          <t>10-K MD&amp;A</t>
        </is>
      </c>
    </row>
    <row r="802">
      <c r="A802" s="13" t="inlineStr">
        <is>
          <t>FY2023</t>
        </is>
      </c>
      <c r="B802" s="13" t="inlineStr">
        <is>
          <t>gross_organic</t>
        </is>
      </c>
      <c r="C802" s="13" t="n">
        <v>63407</v>
      </c>
      <c r="D802" s="13" t="inlineStr">
        <is>
          <t>10-K MD&amp;A</t>
        </is>
      </c>
    </row>
    <row r="803">
      <c r="A803" s="13" t="inlineStr">
        <is>
          <t>FY2023</t>
        </is>
      </c>
      <c r="B803" s="13" t="inlineStr">
        <is>
          <t>gross_outflows</t>
        </is>
      </c>
      <c r="C803" s="13" t="n">
        <v>-33868</v>
      </c>
      <c r="D803" s="13" t="inlineStr">
        <is>
          <t>10-K MD&amp;A</t>
        </is>
      </c>
    </row>
    <row r="804">
      <c r="A804" s="13" t="inlineStr">
        <is>
          <t>FY2023</t>
        </is>
      </c>
      <c r="B804" s="13" t="inlineStr">
        <is>
          <t>inflows_adip</t>
        </is>
      </c>
      <c r="C804" s="13" t="n">
        <v>22621</v>
      </c>
      <c r="D804" s="13" t="inlineStr">
        <is>
          <t>10-K MD&amp;A</t>
        </is>
      </c>
    </row>
    <row r="805">
      <c r="A805" s="13" t="inlineStr">
        <is>
          <t>FY2023</t>
        </is>
      </c>
      <c r="B805" s="13" t="inlineStr">
        <is>
          <t>inflows_athene</t>
        </is>
      </c>
      <c r="C805" s="13" t="n">
        <v>43000</v>
      </c>
      <c r="D805" s="13" t="inlineStr">
        <is>
          <t>10-K MD&amp;A</t>
        </is>
      </c>
    </row>
    <row r="806">
      <c r="A806" s="13" t="inlineStr">
        <is>
          <t>FY2023</t>
        </is>
      </c>
      <c r="B806" s="13" t="inlineStr">
        <is>
          <t>inflows_ceded_3p</t>
        </is>
      </c>
      <c r="C806" s="13" t="n">
        <v>0</v>
      </c>
      <c r="D806" s="13" t="inlineStr">
        <is>
          <t>10-K MD&amp;A</t>
        </is>
      </c>
    </row>
    <row r="807">
      <c r="A807" s="13" t="inlineStr">
        <is>
          <t>FY2023</t>
        </is>
      </c>
      <c r="B807" s="13" t="inlineStr">
        <is>
          <t>net_flows</t>
        </is>
      </c>
      <c r="C807" s="13" t="n">
        <v>31753</v>
      </c>
      <c r="D807" s="13" t="inlineStr">
        <is>
          <t>10-K MD&amp;A</t>
        </is>
      </c>
    </row>
    <row r="808">
      <c r="A808" s="13" t="inlineStr">
        <is>
          <t>FY2023</t>
        </is>
      </c>
      <c r="B808" s="13" t="inlineStr">
        <is>
          <t>other_spread</t>
        </is>
      </c>
      <c r="C808" s="13" t="n">
        <v>0</v>
      </c>
      <c r="D808" s="13" t="inlineStr">
        <is>
          <t>10-K MD&amp;A</t>
        </is>
      </c>
    </row>
    <row r="809">
      <c r="A809" s="13" t="inlineStr">
        <is>
          <t>FY2023</t>
        </is>
      </c>
      <c r="B809" s="13" t="inlineStr">
        <is>
          <t>outflows_adip</t>
        </is>
      </c>
      <c r="C809" s="13" t="n">
        <v>-5105</v>
      </c>
      <c r="D809" s="13" t="inlineStr">
        <is>
          <t>10-K MD&amp;A</t>
        </is>
      </c>
    </row>
    <row r="810">
      <c r="A810" s="13" t="inlineStr">
        <is>
          <t>FY2023</t>
        </is>
      </c>
      <c r="B810" s="13" t="inlineStr">
        <is>
          <t>outflows_athene</t>
        </is>
      </c>
      <c r="C810" s="13" t="n">
        <v>-28763</v>
      </c>
      <c r="D810" s="13" t="inlineStr">
        <is>
          <t>10-K MD&amp;A</t>
        </is>
      </c>
    </row>
    <row r="811">
      <c r="A811" s="13" t="inlineStr">
        <is>
          <t>FY2023</t>
        </is>
      </c>
      <c r="B811" s="13" t="inlineStr">
        <is>
          <t>pga</t>
        </is>
      </c>
      <c r="C811" s="13" t="n">
        <v>10374</v>
      </c>
      <c r="D811" s="13" t="inlineStr">
        <is>
          <t>10-K MD&amp;A</t>
        </is>
      </c>
    </row>
    <row r="812">
      <c r="A812" s="13" t="inlineStr">
        <is>
          <t>FY2023</t>
        </is>
      </c>
      <c r="B812" s="13" t="inlineStr">
        <is>
          <t>provision_credit_losses</t>
        </is>
      </c>
      <c r="C812" s="13" t="n">
        <v>335</v>
      </c>
      <c r="D812" s="13" t="inlineStr">
        <is>
          <t>10-K MD&amp;A</t>
        </is>
      </c>
    </row>
    <row r="813">
      <c r="A813" s="13" t="inlineStr">
        <is>
          <t>FY2023</t>
        </is>
      </c>
      <c r="B813" s="13" t="inlineStr">
        <is>
          <t>retail</t>
        </is>
      </c>
      <c r="C813" s="13" t="n">
        <v>35293</v>
      </c>
      <c r="D813" s="13" t="inlineStr">
        <is>
          <t>10-K MD&amp;A</t>
        </is>
      </c>
    </row>
    <row r="814">
      <c r="A814" s="13" t="inlineStr">
        <is>
          <t>FY2023</t>
        </is>
      </c>
      <c r="B814" s="13" t="inlineStr">
        <is>
          <t>sre</t>
        </is>
      </c>
      <c r="C814" s="13" t="n">
        <v>3107</v>
      </c>
      <c r="D814" s="13" t="inlineStr">
        <is>
          <t>10-K MD&amp;A</t>
        </is>
      </c>
    </row>
    <row r="815">
      <c r="A815" s="13" t="inlineStr">
        <is>
          <t>FY2023</t>
        </is>
      </c>
      <c r="B815" s="13" t="inlineStr">
        <is>
          <t>sre_alt_nii</t>
        </is>
      </c>
      <c r="C815" s="13" t="n">
        <v>864</v>
      </c>
      <c r="D815" s="13" t="inlineStr">
        <is>
          <t>10-K MD&amp;A</t>
        </is>
      </c>
    </row>
    <row r="816">
      <c r="A816" s="13" t="inlineStr">
        <is>
          <t>FY2023</t>
        </is>
      </c>
      <c r="B816" s="13" t="inlineStr">
        <is>
          <t>sre_cof</t>
        </is>
      </c>
      <c r="C816" s="13" t="n">
        <v>-5650</v>
      </c>
      <c r="D816" s="13" t="inlineStr">
        <is>
          <t>10-K MD&amp;A</t>
        </is>
      </c>
    </row>
    <row r="817">
      <c r="A817" s="13" t="inlineStr">
        <is>
          <t>FY2023</t>
        </is>
      </c>
      <c r="B817" s="13" t="inlineStr">
        <is>
          <t>sre_fees</t>
        </is>
      </c>
      <c r="C817" s="13" t="n">
        <v>72</v>
      </c>
      <c r="D817" s="13" t="inlineStr">
        <is>
          <t>10-K MD&amp;A</t>
        </is>
      </c>
    </row>
    <row r="818">
      <c r="A818" s="13" t="inlineStr">
        <is>
          <t>FY2023</t>
        </is>
      </c>
      <c r="B818" s="13" t="inlineStr">
        <is>
          <t>sre_fi_nii</t>
        </is>
      </c>
      <c r="C818" s="13" t="n">
        <v>8744</v>
      </c>
      <c r="D818" s="13" t="inlineStr">
        <is>
          <t>10-K MD&amp;A</t>
        </is>
      </c>
    </row>
    <row r="819">
      <c r="A819" s="13" t="inlineStr">
        <is>
          <t>FY2023</t>
        </is>
      </c>
      <c r="B819" s="13" t="inlineStr">
        <is>
          <t>sre_fin</t>
        </is>
      </c>
      <c r="C819" s="13" t="n">
        <v>-436</v>
      </c>
      <c r="D819" s="13" t="inlineStr">
        <is>
          <t>10-K MD&amp;A</t>
        </is>
      </c>
    </row>
    <row r="820">
      <c r="A820" s="13" t="inlineStr">
        <is>
          <t>FY2023</t>
        </is>
      </c>
      <c r="B820" s="13" t="inlineStr">
        <is>
          <t>sre_nie</t>
        </is>
      </c>
      <c r="C820" s="13" t="n">
        <v>9608</v>
      </c>
      <c r="D820" s="13" t="inlineStr">
        <is>
          <t>10-K MD&amp;A</t>
        </is>
      </c>
    </row>
    <row r="821">
      <c r="A821" s="13" t="inlineStr">
        <is>
          <t>FY2023</t>
        </is>
      </c>
      <c r="B821" s="13" t="inlineStr">
        <is>
          <t>sre_nis</t>
        </is>
      </c>
      <c r="C821" s="13" t="n">
        <v>4030</v>
      </c>
      <c r="D821" s="13" t="inlineStr">
        <is>
          <t>10-K MD&amp;A</t>
        </is>
      </c>
    </row>
    <row r="822">
      <c r="A822" s="13" t="inlineStr">
        <is>
          <t>FY2023</t>
        </is>
      </c>
      <c r="B822" s="13" t="inlineStr">
        <is>
          <t>sre_opex</t>
        </is>
      </c>
      <c r="C822" s="13" t="n">
        <v>-487</v>
      </c>
      <c r="D822" s="13" t="inlineStr">
        <is>
          <t>10-K MD&amp;A</t>
        </is>
      </c>
    </row>
    <row r="823">
      <c r="A823" s="13" t="inlineStr">
        <is>
          <t>FY2023</t>
        </is>
      </c>
      <c r="B823" s="13" t="inlineStr">
        <is>
          <t>total_gross_inflows</t>
        </is>
      </c>
      <c r="C823" s="13" t="n">
        <v>65621</v>
      </c>
      <c r="D823" s="13" t="inlineStr">
        <is>
          <t>10-K MD&amp;A</t>
        </is>
      </c>
    </row>
    <row r="824">
      <c r="A824" s="13" t="inlineStr">
        <is>
          <t>FY2023</t>
        </is>
      </c>
      <c r="B824" s="13" t="inlineStr">
        <is>
          <t>total_gross_outflows_check</t>
        </is>
      </c>
      <c r="C824" s="13" t="n">
        <v>-33868</v>
      </c>
      <c r="D824" s="13" t="inlineStr">
        <is>
          <t>10-K MD&amp;A</t>
        </is>
      </c>
    </row>
    <row r="825">
      <c r="A825" s="13" t="inlineStr">
        <is>
          <t>FY2024</t>
        </is>
      </c>
      <c r="B825" s="13" t="inlineStr">
        <is>
          <t>flow_reins</t>
        </is>
      </c>
      <c r="C825" s="13" t="n">
        <v>5573</v>
      </c>
      <c r="D825" s="13" t="inlineStr">
        <is>
          <t>10-K MD&amp;A</t>
        </is>
      </c>
    </row>
    <row r="826">
      <c r="A826" s="13" t="inlineStr">
        <is>
          <t>FY2024</t>
        </is>
      </c>
      <c r="B826" s="13" t="inlineStr">
        <is>
          <t>funding_agreements</t>
        </is>
      </c>
      <c r="C826" s="13" t="n">
        <v>28748</v>
      </c>
      <c r="D826" s="13" t="inlineStr">
        <is>
          <t>10-K MD&amp;A</t>
        </is>
      </c>
    </row>
    <row r="827">
      <c r="A827" s="13" t="inlineStr">
        <is>
          <t>FY2024</t>
        </is>
      </c>
      <c r="B827" s="13" t="inlineStr">
        <is>
          <t>gaap_ni</t>
        </is>
      </c>
      <c r="C827" s="13" t="n">
        <v>4904</v>
      </c>
      <c r="D827" s="13" t="inlineStr">
        <is>
          <t>10-K MD&amp;A</t>
        </is>
      </c>
    </row>
    <row r="828">
      <c r="A828" s="13" t="inlineStr">
        <is>
          <t>FY2024</t>
        </is>
      </c>
      <c r="B828" s="13" t="inlineStr">
        <is>
          <t>gaap_ni_ahl</t>
        </is>
      </c>
      <c r="C828" s="13" t="n">
        <v>3461</v>
      </c>
      <c r="D828" s="13" t="inlineStr">
        <is>
          <t>10-K MD&amp;A</t>
        </is>
      </c>
    </row>
    <row r="829">
      <c r="A829" s="13" t="inlineStr">
        <is>
          <t>FY2024</t>
        </is>
      </c>
      <c r="B829" s="13" t="inlineStr">
        <is>
          <t>gaap_ni_common</t>
        </is>
      </c>
      <c r="C829" s="13" t="n">
        <v>3280</v>
      </c>
      <c r="D829" s="13" t="inlineStr">
        <is>
          <t>10-K MD&amp;A</t>
        </is>
      </c>
    </row>
    <row r="830">
      <c r="A830" s="13" t="inlineStr">
        <is>
          <t>FY2024</t>
        </is>
      </c>
      <c r="B830" s="13" t="inlineStr">
        <is>
          <t>gaap_ni_nci</t>
        </is>
      </c>
      <c r="C830" s="13" t="n">
        <v>1443</v>
      </c>
      <c r="D830" s="13" t="inlineStr">
        <is>
          <t>10-K MD&amp;A</t>
        </is>
      </c>
    </row>
    <row r="831">
      <c r="A831" s="13" t="inlineStr">
        <is>
          <t>FY2024</t>
        </is>
      </c>
      <c r="B831" s="13" t="inlineStr">
        <is>
          <t>gaap_pref</t>
        </is>
      </c>
      <c r="C831" s="13" t="n">
        <v>181</v>
      </c>
      <c r="D831" s="13" t="inlineStr">
        <is>
          <t>10-K MD&amp;A</t>
        </is>
      </c>
    </row>
    <row r="832">
      <c r="A832" s="13" t="inlineStr">
        <is>
          <t>FY2024</t>
        </is>
      </c>
      <c r="B832" s="13" t="inlineStr">
        <is>
          <t>gaap_pref_red</t>
        </is>
      </c>
      <c r="C832" s="13" t="n">
        <v>0</v>
      </c>
      <c r="D832" s="13" t="inlineStr">
        <is>
          <t>10-K MD&amp;A</t>
        </is>
      </c>
    </row>
    <row r="833">
      <c r="A833" s="13" t="inlineStr">
        <is>
          <t>FY2024</t>
        </is>
      </c>
      <c r="B833" s="13" t="inlineStr">
        <is>
          <t>gross_inorganic</t>
        </is>
      </c>
      <c r="C833" s="13" t="n">
        <v>0</v>
      </c>
      <c r="D833" s="13" t="inlineStr">
        <is>
          <t>10-K MD&amp;A</t>
        </is>
      </c>
    </row>
    <row r="834">
      <c r="A834" s="13" t="inlineStr">
        <is>
          <t>FY2024</t>
        </is>
      </c>
      <c r="B834" s="13" t="inlineStr">
        <is>
          <t>gross_organic</t>
        </is>
      </c>
      <c r="C834" s="13" t="n">
        <v>71003</v>
      </c>
      <c r="D834" s="13" t="inlineStr">
        <is>
          <t>10-K MD&amp;A</t>
        </is>
      </c>
    </row>
    <row r="835">
      <c r="A835" s="13" t="inlineStr">
        <is>
          <t>FY2024</t>
        </is>
      </c>
      <c r="B835" s="13" t="inlineStr">
        <is>
          <t>gross_outflows</t>
        </is>
      </c>
      <c r="C835" s="13" t="n">
        <v>-33469</v>
      </c>
      <c r="D835" s="13" t="inlineStr">
        <is>
          <t>10-K MD&amp;A</t>
        </is>
      </c>
    </row>
    <row r="836">
      <c r="A836" s="13" t="inlineStr">
        <is>
          <t>FY2024</t>
        </is>
      </c>
      <c r="B836" s="13" t="inlineStr">
        <is>
          <t>inflows_adip</t>
        </is>
      </c>
      <c r="C836" s="13" t="n">
        <v>17848</v>
      </c>
      <c r="D836" s="13" t="inlineStr">
        <is>
          <t>10-K MD&amp;A</t>
        </is>
      </c>
    </row>
    <row r="837">
      <c r="A837" s="13" t="inlineStr">
        <is>
          <t>FY2024</t>
        </is>
      </c>
      <c r="B837" s="13" t="inlineStr">
        <is>
          <t>inflows_athene</t>
        </is>
      </c>
      <c r="C837" s="13" t="n">
        <v>49084</v>
      </c>
      <c r="D837" s="13" t="inlineStr">
        <is>
          <t>10-K MD&amp;A</t>
        </is>
      </c>
    </row>
    <row r="838">
      <c r="A838" s="13" t="inlineStr">
        <is>
          <t>FY2024</t>
        </is>
      </c>
      <c r="B838" s="13" t="inlineStr">
        <is>
          <t>inflows_ceded_3p</t>
        </is>
      </c>
      <c r="C838" s="13" t="n">
        <v>4071</v>
      </c>
      <c r="D838" s="13" t="inlineStr">
        <is>
          <t>10-K MD&amp;A</t>
        </is>
      </c>
    </row>
    <row r="839">
      <c r="A839" s="13" t="inlineStr">
        <is>
          <t>FY2024</t>
        </is>
      </c>
      <c r="B839" s="13" t="inlineStr">
        <is>
          <t>net_flows</t>
        </is>
      </c>
      <c r="C839" s="13" t="n">
        <v>37534</v>
      </c>
      <c r="D839" s="13" t="inlineStr">
        <is>
          <t>10-K MD&amp;A</t>
        </is>
      </c>
    </row>
    <row r="840">
      <c r="A840" s="13" t="inlineStr">
        <is>
          <t>FY2024</t>
        </is>
      </c>
      <c r="B840" s="13" t="inlineStr">
        <is>
          <t>other_spread</t>
        </is>
      </c>
      <c r="C840" s="13" t="n">
        <v>0</v>
      </c>
      <c r="D840" s="13" t="inlineStr">
        <is>
          <t>10-K MD&amp;A</t>
        </is>
      </c>
    </row>
    <row r="841">
      <c r="A841" s="13" t="inlineStr">
        <is>
          <t>FY2024</t>
        </is>
      </c>
      <c r="B841" s="13" t="inlineStr">
        <is>
          <t>outflows_adip</t>
        </is>
      </c>
      <c r="C841" s="13" t="n">
        <v>-6221</v>
      </c>
      <c r="D841" s="13" t="inlineStr">
        <is>
          <t>10-K MD&amp;A</t>
        </is>
      </c>
    </row>
    <row r="842">
      <c r="A842" s="13" t="inlineStr">
        <is>
          <t>FY2024</t>
        </is>
      </c>
      <c r="B842" s="13" t="inlineStr">
        <is>
          <t>outflows_athene</t>
        </is>
      </c>
      <c r="C842" s="13" t="n">
        <v>-27248</v>
      </c>
      <c r="D842" s="13" t="inlineStr">
        <is>
          <t>10-K MD&amp;A</t>
        </is>
      </c>
    </row>
    <row r="843">
      <c r="A843" s="13" t="inlineStr">
        <is>
          <t>FY2024</t>
        </is>
      </c>
      <c r="B843" s="13" t="inlineStr">
        <is>
          <t>pga</t>
        </is>
      </c>
      <c r="C843" s="13" t="n">
        <v>918</v>
      </c>
      <c r="D843" s="13" t="inlineStr">
        <is>
          <t>10-K MD&amp;A</t>
        </is>
      </c>
    </row>
    <row r="844">
      <c r="A844" s="13" t="inlineStr">
        <is>
          <t>FY2024</t>
        </is>
      </c>
      <c r="B844" s="13" t="inlineStr">
        <is>
          <t>provision_credit_losses</t>
        </is>
      </c>
      <c r="C844" s="13" t="n">
        <v>181</v>
      </c>
      <c r="D844" s="13" t="inlineStr">
        <is>
          <t>10-K MD&amp;A</t>
        </is>
      </c>
    </row>
    <row r="845">
      <c r="A845" s="13" t="inlineStr">
        <is>
          <t>FY2024</t>
        </is>
      </c>
      <c r="B845" s="13" t="inlineStr">
        <is>
          <t>retail</t>
        </is>
      </c>
      <c r="C845" s="13" t="n">
        <v>35764</v>
      </c>
      <c r="D845" s="13" t="inlineStr">
        <is>
          <t>10-K MD&amp;A</t>
        </is>
      </c>
    </row>
    <row r="846">
      <c r="A846" s="13" t="inlineStr">
        <is>
          <t>FY2024</t>
        </is>
      </c>
      <c r="B846" s="13" t="inlineStr">
        <is>
          <t>sre</t>
        </is>
      </c>
      <c r="C846" s="13" t="n">
        <v>3221</v>
      </c>
      <c r="D846" s="13" t="inlineStr">
        <is>
          <t>10-K MD&amp;A</t>
        </is>
      </c>
    </row>
    <row r="847">
      <c r="A847" s="13" t="inlineStr">
        <is>
          <t>FY2024</t>
        </is>
      </c>
      <c r="B847" s="13" t="inlineStr">
        <is>
          <t>sre_alt_nii</t>
        </is>
      </c>
      <c r="C847" s="13" t="n">
        <v>939</v>
      </c>
      <c r="D847" s="13" t="inlineStr">
        <is>
          <t>10-K MD&amp;A</t>
        </is>
      </c>
    </row>
    <row r="848">
      <c r="A848" s="13" t="inlineStr">
        <is>
          <t>FY2024</t>
        </is>
      </c>
      <c r="B848" s="13" t="inlineStr">
        <is>
          <t>sre_cof</t>
        </is>
      </c>
      <c r="C848" s="13" t="n">
        <v>-7702</v>
      </c>
      <c r="D848" s="13" t="inlineStr">
        <is>
          <t>10-K MD&amp;A</t>
        </is>
      </c>
    </row>
    <row r="849">
      <c r="A849" s="13" t="inlineStr">
        <is>
          <t>FY2024</t>
        </is>
      </c>
      <c r="B849" s="13" t="inlineStr">
        <is>
          <t>sre_fees</t>
        </is>
      </c>
      <c r="C849" s="13" t="n">
        <v>105</v>
      </c>
      <c r="D849" s="13" t="inlineStr">
        <is>
          <t>10-K MD&amp;A</t>
        </is>
      </c>
    </row>
    <row r="850">
      <c r="A850" s="13" t="inlineStr">
        <is>
          <t>FY2024</t>
        </is>
      </c>
      <c r="B850" s="13" t="inlineStr">
        <is>
          <t>sre_fi_nii</t>
        </is>
      </c>
      <c r="C850" s="13" t="n">
        <v>10811</v>
      </c>
      <c r="D850" s="13" t="inlineStr">
        <is>
          <t>10-K MD&amp;A</t>
        </is>
      </c>
    </row>
    <row r="851">
      <c r="A851" s="13" t="inlineStr">
        <is>
          <t>FY2024</t>
        </is>
      </c>
      <c r="B851" s="13" t="inlineStr">
        <is>
          <t>sre_fin</t>
        </is>
      </c>
      <c r="C851" s="13" t="n">
        <v>-465</v>
      </c>
      <c r="D851" s="13" t="inlineStr">
        <is>
          <t>10-K MD&amp;A</t>
        </is>
      </c>
    </row>
    <row r="852">
      <c r="A852" s="13" t="inlineStr">
        <is>
          <t>FY2024</t>
        </is>
      </c>
      <c r="B852" s="13" t="inlineStr">
        <is>
          <t>sre_nie</t>
        </is>
      </c>
      <c r="C852" s="13" t="n">
        <v>11750</v>
      </c>
      <c r="D852" s="13" t="inlineStr">
        <is>
          <t>10-K MD&amp;A</t>
        </is>
      </c>
    </row>
    <row r="853">
      <c r="A853" s="13" t="inlineStr">
        <is>
          <t>FY2024</t>
        </is>
      </c>
      <c r="B853" s="13" t="inlineStr">
        <is>
          <t>sre_nis</t>
        </is>
      </c>
      <c r="C853" s="13" t="n">
        <v>4153</v>
      </c>
      <c r="D853" s="13" t="inlineStr">
        <is>
          <t>10-K MD&amp;A</t>
        </is>
      </c>
    </row>
    <row r="854">
      <c r="A854" s="13" t="inlineStr">
        <is>
          <t>FY2024</t>
        </is>
      </c>
      <c r="B854" s="13" t="inlineStr">
        <is>
          <t>sre_opex</t>
        </is>
      </c>
      <c r="C854" s="13" t="n">
        <v>-467</v>
      </c>
      <c r="D854" s="13" t="inlineStr">
        <is>
          <t>10-K MD&amp;A</t>
        </is>
      </c>
    </row>
    <row r="855">
      <c r="A855" s="13" t="inlineStr">
        <is>
          <t>FY2024</t>
        </is>
      </c>
      <c r="B855" s="13" t="inlineStr">
        <is>
          <t>total_gross_inflows</t>
        </is>
      </c>
      <c r="C855" s="13" t="n">
        <v>71003</v>
      </c>
      <c r="D855" s="13" t="inlineStr">
        <is>
          <t>10-K MD&amp;A</t>
        </is>
      </c>
    </row>
    <row r="856">
      <c r="A856" s="13" t="inlineStr">
        <is>
          <t>FY2024</t>
        </is>
      </c>
      <c r="B856" s="13" t="inlineStr">
        <is>
          <t>total_gross_outflows_check</t>
        </is>
      </c>
      <c r="C856" s="13" t="n">
        <v>-33469</v>
      </c>
      <c r="D856" s="13" t="inlineStr">
        <is>
          <t>10-K MD&amp;A</t>
        </is>
      </c>
    </row>
    <row r="857">
      <c r="A857" s="13" t="inlineStr">
        <is>
          <t>FY2025</t>
        </is>
      </c>
      <c r="B857" s="13" t="inlineStr">
        <is>
          <t>flow_reins</t>
        </is>
      </c>
      <c r="C857" s="13" t="n">
        <v>11171</v>
      </c>
      <c r="D857" s="13" t="inlineStr">
        <is>
          <t>10-K MD&amp;A</t>
        </is>
      </c>
    </row>
    <row r="858">
      <c r="A858" s="13" t="inlineStr">
        <is>
          <t>FY2025</t>
        </is>
      </c>
      <c r="B858" s="13" t="inlineStr">
        <is>
          <t>funding_agreements</t>
        </is>
      </c>
      <c r="C858" s="13" t="n">
        <v>35375</v>
      </c>
      <c r="D858" s="13" t="inlineStr">
        <is>
          <t>10-K MD&amp;A</t>
        </is>
      </c>
    </row>
    <row r="859">
      <c r="A859" s="13" t="inlineStr">
        <is>
          <t>FY2025</t>
        </is>
      </c>
      <c r="B859" s="13" t="inlineStr">
        <is>
          <t>gaap_ni</t>
        </is>
      </c>
      <c r="C859" s="13" t="n">
        <v>4221</v>
      </c>
      <c r="D859" s="13" t="inlineStr">
        <is>
          <t>10-K MD&amp;A</t>
        </is>
      </c>
    </row>
    <row r="860">
      <c r="A860" s="13" t="inlineStr">
        <is>
          <t>FY2025</t>
        </is>
      </c>
      <c r="B860" s="13" t="inlineStr">
        <is>
          <t>gaap_ni_ahl</t>
        </is>
      </c>
      <c r="C860" s="13" t="n">
        <v>2711</v>
      </c>
      <c r="D860" s="13" t="inlineStr">
        <is>
          <t>10-K MD&amp;A</t>
        </is>
      </c>
    </row>
    <row r="861">
      <c r="A861" s="13" t="inlineStr">
        <is>
          <t>FY2025</t>
        </is>
      </c>
      <c r="B861" s="13" t="inlineStr">
        <is>
          <t>gaap_ni_common</t>
        </is>
      </c>
      <c r="C861" s="13" t="n">
        <v>2634</v>
      </c>
      <c r="D861" s="13" t="inlineStr">
        <is>
          <t>10-K MD&amp;A</t>
        </is>
      </c>
    </row>
    <row r="862">
      <c r="A862" s="13" t="inlineStr">
        <is>
          <t>FY2025</t>
        </is>
      </c>
      <c r="B862" s="13" t="inlineStr">
        <is>
          <t>gaap_ni_nci</t>
        </is>
      </c>
      <c r="C862" s="13" t="n">
        <v>1510</v>
      </c>
      <c r="D862" s="13" t="inlineStr">
        <is>
          <t>10-K MD&amp;A</t>
        </is>
      </c>
    </row>
    <row r="863">
      <c r="A863" s="13" t="inlineStr">
        <is>
          <t>FY2025</t>
        </is>
      </c>
      <c r="B863" s="13" t="inlineStr">
        <is>
          <t>gaap_pref</t>
        </is>
      </c>
      <c r="C863" s="13" t="n">
        <v>161</v>
      </c>
      <c r="D863" s="13" t="inlineStr">
        <is>
          <t>10-K MD&amp;A</t>
        </is>
      </c>
    </row>
    <row r="864">
      <c r="A864" s="13" t="inlineStr">
        <is>
          <t>FY2025</t>
        </is>
      </c>
      <c r="B864" s="13" t="inlineStr">
        <is>
          <t>gaap_pref_red</t>
        </is>
      </c>
      <c r="C864" s="13" t="n">
        <v>84</v>
      </c>
      <c r="D864" s="13" t="inlineStr">
        <is>
          <t>10-K MD&amp;A</t>
        </is>
      </c>
    </row>
    <row r="865">
      <c r="A865" s="13" t="inlineStr">
        <is>
          <t>FY2025</t>
        </is>
      </c>
      <c r="B865" s="13" t="inlineStr">
        <is>
          <t>gross_inorganic</t>
        </is>
      </c>
      <c r="C865" s="13" t="n">
        <v>1340</v>
      </c>
      <c r="D865" s="13" t="inlineStr">
        <is>
          <t>10-K MD&amp;A</t>
        </is>
      </c>
    </row>
    <row r="866">
      <c r="A866" s="13" t="inlineStr">
        <is>
          <t>FY2025</t>
        </is>
      </c>
      <c r="B866" s="13" t="inlineStr">
        <is>
          <t>gross_organic</t>
        </is>
      </c>
      <c r="C866" s="13" t="n">
        <v>82098</v>
      </c>
      <c r="D866" s="13" t="inlineStr">
        <is>
          <t>10-K MD&amp;A</t>
        </is>
      </c>
    </row>
    <row r="867">
      <c r="A867" s="13" t="inlineStr">
        <is>
          <t>FY2025</t>
        </is>
      </c>
      <c r="B867" s="13" t="inlineStr">
        <is>
          <t>gross_outflows</t>
        </is>
      </c>
      <c r="C867" s="13" t="n">
        <v>-35528</v>
      </c>
      <c r="D867" s="13" t="inlineStr">
        <is>
          <t>10-K MD&amp;A</t>
        </is>
      </c>
    </row>
    <row r="868">
      <c r="A868" s="13" t="inlineStr">
        <is>
          <t>FY2025</t>
        </is>
      </c>
      <c r="B868" s="13" t="inlineStr">
        <is>
          <t>inflows_adip</t>
        </is>
      </c>
      <c r="C868" s="13" t="n">
        <v>18452</v>
      </c>
      <c r="D868" s="13" t="inlineStr">
        <is>
          <t>10-K MD&amp;A</t>
        </is>
      </c>
    </row>
    <row r="869">
      <c r="A869" s="13" t="inlineStr">
        <is>
          <t>FY2025</t>
        </is>
      </c>
      <c r="B869" s="13" t="inlineStr">
        <is>
          <t>inflows_athene</t>
        </is>
      </c>
      <c r="C869" s="13" t="n">
        <v>63236</v>
      </c>
      <c r="D869" s="13" t="inlineStr">
        <is>
          <t>10-K MD&amp;A</t>
        </is>
      </c>
    </row>
    <row r="870">
      <c r="A870" s="13" t="inlineStr">
        <is>
          <t>FY2025</t>
        </is>
      </c>
      <c r="B870" s="13" t="inlineStr">
        <is>
          <t>inflows_ceded_3p</t>
        </is>
      </c>
      <c r="C870" s="13" t="n">
        <v>1750</v>
      </c>
      <c r="D870" s="13" t="inlineStr">
        <is>
          <t>10-K MD&amp;A</t>
        </is>
      </c>
    </row>
    <row r="871">
      <c r="A871" s="13" t="inlineStr">
        <is>
          <t>FY2025</t>
        </is>
      </c>
      <c r="B871" s="13" t="inlineStr">
        <is>
          <t>net_flows</t>
        </is>
      </c>
      <c r="C871" s="13" t="n">
        <v>47910</v>
      </c>
      <c r="D871" s="13" t="inlineStr">
        <is>
          <t>10-K MD&amp;A</t>
        </is>
      </c>
    </row>
    <row r="872">
      <c r="A872" s="13" t="inlineStr">
        <is>
          <t>FY2025</t>
        </is>
      </c>
      <c r="B872" s="13" t="inlineStr">
        <is>
          <t>other_spread</t>
        </is>
      </c>
      <c r="C872" s="13" t="n">
        <v>674</v>
      </c>
      <c r="D872" s="13" t="inlineStr">
        <is>
          <t>10-K MD&amp;A</t>
        </is>
      </c>
    </row>
    <row r="873">
      <c r="A873" s="13" t="inlineStr">
        <is>
          <t>FY2025</t>
        </is>
      </c>
      <c r="B873" s="13" t="inlineStr">
        <is>
          <t>outflows_adip</t>
        </is>
      </c>
      <c r="C873" s="13" t="n">
        <v>-5803</v>
      </c>
      <c r="D873" s="13" t="inlineStr">
        <is>
          <t>10-K MD&amp;A</t>
        </is>
      </c>
    </row>
    <row r="874">
      <c r="A874" s="13" t="inlineStr">
        <is>
          <t>FY2025</t>
        </is>
      </c>
      <c r="B874" s="13" t="inlineStr">
        <is>
          <t>outflows_athene</t>
        </is>
      </c>
      <c r="C874" s="13" t="n">
        <v>-29725</v>
      </c>
      <c r="D874" s="13" t="inlineStr">
        <is>
          <t>10-K MD&amp;A</t>
        </is>
      </c>
    </row>
    <row r="875">
      <c r="A875" s="13" t="inlineStr">
        <is>
          <t>FY2025</t>
        </is>
      </c>
      <c r="B875" s="13" t="inlineStr">
        <is>
          <t>pga</t>
        </is>
      </c>
      <c r="C875" s="13" t="n">
        <v>751</v>
      </c>
      <c r="D875" s="13" t="inlineStr">
        <is>
          <t>10-K MD&amp;A</t>
        </is>
      </c>
    </row>
    <row r="876">
      <c r="A876" s="13" t="inlineStr">
        <is>
          <t>FY2025</t>
        </is>
      </c>
      <c r="B876" s="13" t="inlineStr">
        <is>
          <t>provision_credit_losses</t>
        </is>
      </c>
      <c r="C876" s="13" t="n">
        <v>111</v>
      </c>
      <c r="D876" s="13" t="inlineStr">
        <is>
          <t>10-K MD&amp;A</t>
        </is>
      </c>
    </row>
    <row r="877">
      <c r="A877" s="13" t="inlineStr">
        <is>
          <t>FY2025</t>
        </is>
      </c>
      <c r="B877" s="13" t="inlineStr">
        <is>
          <t>retail</t>
        </is>
      </c>
      <c r="C877" s="13" t="n">
        <v>34127</v>
      </c>
      <c r="D877" s="13" t="inlineStr">
        <is>
          <t>10-K MD&amp;A</t>
        </is>
      </c>
    </row>
    <row r="878">
      <c r="A878" s="13" t="inlineStr">
        <is>
          <t>FY2025</t>
        </is>
      </c>
      <c r="B878" s="13" t="inlineStr">
        <is>
          <t>sre</t>
        </is>
      </c>
      <c r="C878" s="13" t="n">
        <v>3361</v>
      </c>
      <c r="D878" s="13" t="inlineStr">
        <is>
          <t>10-K MD&amp;A</t>
        </is>
      </c>
    </row>
    <row r="879">
      <c r="A879" s="13" t="inlineStr">
        <is>
          <t>FY2025</t>
        </is>
      </c>
      <c r="B879" s="13" t="inlineStr">
        <is>
          <t>sre_alt_nii</t>
        </is>
      </c>
      <c r="C879" s="13" t="n">
        <v>1299</v>
      </c>
      <c r="D879" s="13" t="inlineStr">
        <is>
          <t>10-K MD&amp;A</t>
        </is>
      </c>
    </row>
    <row r="880">
      <c r="A880" s="13" t="inlineStr">
        <is>
          <t>FY2025</t>
        </is>
      </c>
      <c r="B880" s="13" t="inlineStr">
        <is>
          <t>sre_cof</t>
        </is>
      </c>
      <c r="C880" s="13" t="n">
        <v>-10083</v>
      </c>
      <c r="D880" s="13" t="inlineStr">
        <is>
          <t>10-K MD&amp;A</t>
        </is>
      </c>
    </row>
    <row r="881">
      <c r="A881" s="13" t="inlineStr">
        <is>
          <t>FY2025</t>
        </is>
      </c>
      <c r="B881" s="13" t="inlineStr">
        <is>
          <t>sre_fees</t>
        </is>
      </c>
      <c r="C881" s="13" t="n">
        <v>131</v>
      </c>
      <c r="D881" s="13" t="inlineStr">
        <is>
          <t>10-K MD&amp;A</t>
        </is>
      </c>
    </row>
    <row r="882">
      <c r="A882" s="13" t="inlineStr">
        <is>
          <t>FY2025</t>
        </is>
      </c>
      <c r="B882" s="13" t="inlineStr">
        <is>
          <t>sre_fi_nii</t>
        </is>
      </c>
      <c r="C882" s="13" t="n">
        <v>13026</v>
      </c>
      <c r="D882" s="13" t="inlineStr">
        <is>
          <t>10-K MD&amp;A</t>
        </is>
      </c>
    </row>
    <row r="883">
      <c r="A883" s="13" t="inlineStr">
        <is>
          <t>FY2025</t>
        </is>
      </c>
      <c r="B883" s="13" t="inlineStr">
        <is>
          <t>sre_fin</t>
        </is>
      </c>
      <c r="C883" s="13" t="n">
        <v>-560</v>
      </c>
      <c r="D883" s="13" t="inlineStr">
        <is>
          <t>10-K MD&amp;A</t>
        </is>
      </c>
    </row>
    <row r="884">
      <c r="A884" s="13" t="inlineStr">
        <is>
          <t>FY2025</t>
        </is>
      </c>
      <c r="B884" s="13" t="inlineStr">
        <is>
          <t>sre_nie</t>
        </is>
      </c>
      <c r="C884" s="13" t="n">
        <v>14325</v>
      </c>
      <c r="D884" s="13" t="inlineStr">
        <is>
          <t>10-K MD&amp;A</t>
        </is>
      </c>
    </row>
    <row r="885">
      <c r="A885" s="13" t="inlineStr">
        <is>
          <t>FY2025</t>
        </is>
      </c>
      <c r="B885" s="13" t="inlineStr">
        <is>
          <t>sre_nis</t>
        </is>
      </c>
      <c r="C885" s="13" t="n">
        <v>4373</v>
      </c>
      <c r="D885" s="13" t="inlineStr">
        <is>
          <t>10-K MD&amp;A</t>
        </is>
      </c>
    </row>
    <row r="886">
      <c r="A886" s="13" t="inlineStr">
        <is>
          <t>FY2025</t>
        </is>
      </c>
      <c r="B886" s="13" t="inlineStr">
        <is>
          <t>sre_opex</t>
        </is>
      </c>
      <c r="C886" s="13" t="n">
        <v>-452</v>
      </c>
      <c r="D886" s="13" t="inlineStr">
        <is>
          <t>10-K MD&amp;A</t>
        </is>
      </c>
    </row>
    <row r="887">
      <c r="A887" s="13" t="inlineStr">
        <is>
          <t>FY2025</t>
        </is>
      </c>
      <c r="B887" s="13" t="inlineStr">
        <is>
          <t>total_gross_inflows</t>
        </is>
      </c>
      <c r="C887" s="13" t="n">
        <v>83438</v>
      </c>
      <c r="D887" s="13" t="inlineStr">
        <is>
          <t>10-K MD&amp;A</t>
        </is>
      </c>
    </row>
    <row r="888">
      <c r="A888" s="13" t="inlineStr">
        <is>
          <t>FY2025</t>
        </is>
      </c>
      <c r="B888" s="13" t="inlineStr">
        <is>
          <t>total_gross_outflows_check</t>
        </is>
      </c>
      <c r="C888" s="13" t="n">
        <v>-35528</v>
      </c>
      <c r="D888" s="13" t="inlineStr">
        <is>
          <t>10-K MD&amp;A</t>
        </is>
      </c>
    </row>
    <row r="889">
      <c r="A889" s="13" t="inlineStr">
        <is>
          <t>FY2023</t>
        </is>
      </c>
      <c r="B889" s="13" t="inlineStr">
        <is>
          <t>stat:total:all</t>
        </is>
      </c>
      <c r="C889" s="13" t="n">
        <v>75192.553504</v>
      </c>
      <c r="D889" s="13" t="inlineStr">
        <is>
          <t>statutory D1 (footed)</t>
        </is>
      </c>
    </row>
    <row r="890">
      <c r="A890" s="13" t="inlineStr">
        <is>
          <t>FY2023</t>
        </is>
      </c>
      <c r="B890" s="13" t="inlineStr">
        <is>
          <t>stat:naic_band:NAIC 1</t>
        </is>
      </c>
      <c r="C890" s="13" t="n">
        <v>43543.526367</v>
      </c>
      <c r="D890" s="13" t="inlineStr">
        <is>
          <t>statutory D1 (footed)</t>
        </is>
      </c>
    </row>
    <row r="891">
      <c r="A891" s="13" t="inlineStr">
        <is>
          <t>FY2023</t>
        </is>
      </c>
      <c r="B891" s="13" t="inlineStr">
        <is>
          <t>stat:naic_band:NAIC 2</t>
        </is>
      </c>
      <c r="C891" s="13" t="n">
        <v>28853.90278</v>
      </c>
      <c r="D891" s="13" t="inlineStr">
        <is>
          <t>statutory D1 (footed)</t>
        </is>
      </c>
    </row>
    <row r="892">
      <c r="A892" s="13" t="inlineStr">
        <is>
          <t>FY2023</t>
        </is>
      </c>
      <c r="B892" s="13" t="inlineStr">
        <is>
          <t>stat:naic_band:NAIC 3</t>
        </is>
      </c>
      <c r="C892" s="13" t="n">
        <v>2012.321088</v>
      </c>
      <c r="D892" s="13" t="inlineStr">
        <is>
          <t>statutory D1 (footed)</t>
        </is>
      </c>
    </row>
    <row r="893">
      <c r="A893" s="13" t="inlineStr">
        <is>
          <t>FY2023</t>
        </is>
      </c>
      <c r="B893" s="13" t="inlineStr">
        <is>
          <t>stat:naic_band:NAIC 4</t>
        </is>
      </c>
      <c r="C893" s="13" t="n">
        <v>591.671591</v>
      </c>
      <c r="D893" s="13" t="inlineStr">
        <is>
          <t>statutory D1 (footed)</t>
        </is>
      </c>
    </row>
    <row r="894">
      <c r="A894" s="13" t="inlineStr">
        <is>
          <t>FY2023</t>
        </is>
      </c>
      <c r="B894" s="13" t="inlineStr">
        <is>
          <t>stat:naic_band:NAIC 5</t>
        </is>
      </c>
      <c r="C894" s="13" t="n">
        <v>60.097722</v>
      </c>
      <c r="D894" s="13" t="inlineStr">
        <is>
          <t>statutory D1 (footed)</t>
        </is>
      </c>
    </row>
    <row r="895">
      <c r="A895" s="13" t="inlineStr">
        <is>
          <t>FY2023</t>
        </is>
      </c>
      <c r="B895" s="13" t="inlineStr">
        <is>
          <t>stat:naic_band:NAIC 6</t>
        </is>
      </c>
      <c r="C895" s="13" t="n">
        <v>131.033956</v>
      </c>
      <c r="D895" s="13" t="inlineStr">
        <is>
          <t>statutory D1 (footed)</t>
        </is>
      </c>
    </row>
    <row r="896">
      <c r="A896" s="13" t="inlineStr">
        <is>
          <t>FY2023</t>
        </is>
      </c>
      <c r="B896" s="13" t="inlineStr">
        <is>
          <t>stat:rating_source:FE (public agency rating)</t>
        </is>
      </c>
      <c r="C896" s="13" t="n">
        <v>48819.998985</v>
      </c>
      <c r="D896" s="13" t="inlineStr">
        <is>
          <t>statutory D1 (footed)</t>
        </is>
      </c>
    </row>
    <row r="897">
      <c r="A897" s="13" t="inlineStr">
        <is>
          <t>FY2023</t>
        </is>
      </c>
      <c r="B897" s="13" t="inlineStr">
        <is>
          <t>stat:rating_source:FM (financially modeled)</t>
        </is>
      </c>
      <c r="C897" s="13" t="n">
        <v>1620.538251</v>
      </c>
      <c r="D897" s="13" t="inlineStr">
        <is>
          <t>statutory D1 (footed)</t>
        </is>
      </c>
    </row>
    <row r="898">
      <c r="A898" s="13" t="inlineStr">
        <is>
          <t>FY2023</t>
        </is>
      </c>
      <c r="B898" s="13" t="inlineStr">
        <is>
          <t>stat:rating_source:PL (private letter)</t>
        </is>
      </c>
      <c r="C898" s="13" t="n">
        <v>11737.978237</v>
      </c>
      <c r="D898" s="13" t="inlineStr">
        <is>
          <t>statutory D1 (footed)</t>
        </is>
      </c>
    </row>
    <row r="899">
      <c r="A899" s="13" t="inlineStr">
        <is>
          <t>FY2023</t>
        </is>
      </c>
      <c r="B899" s="13" t="inlineStr">
        <is>
          <t>stat:rating_source:none (exempt/blank)</t>
        </is>
      </c>
      <c r="C899" s="13" t="n">
        <v>10057.713529</v>
      </c>
      <c r="D899" s="13" t="inlineStr">
        <is>
          <t>statutory D1 (footed)</t>
        </is>
      </c>
    </row>
    <row r="900">
      <c r="A900" s="13" t="inlineStr">
        <is>
          <t>FY2023</t>
        </is>
      </c>
      <c r="B900" s="13" t="inlineStr">
        <is>
          <t>stat:rating_source:self/temporary (Z,YE,E,M,GI...)</t>
        </is>
      </c>
      <c r="C900" s="13" t="n">
        <v>2956.324502</v>
      </c>
      <c r="D900" s="13" t="inlineStr">
        <is>
          <t>statutory D1 (footed)</t>
        </is>
      </c>
    </row>
    <row r="901">
      <c r="A901" s="13" t="inlineStr">
        <is>
          <t>FY2023</t>
        </is>
      </c>
      <c r="B901" s="13" t="inlineStr">
        <is>
          <t>stat:id_type:CUSIP</t>
        </is>
      </c>
      <c r="C901" s="13" t="n">
        <v>56859.387048</v>
      </c>
      <c r="D901" s="13" t="inlineStr">
        <is>
          <t>statutory D1 (footed)</t>
        </is>
      </c>
    </row>
    <row r="902">
      <c r="A902" s="13" t="inlineStr">
        <is>
          <t>FY2023</t>
        </is>
      </c>
      <c r="B902" s="13" t="inlineStr">
        <is>
          <t>stat:id_type:PPN (private placement)</t>
        </is>
      </c>
      <c r="C902" s="13" t="n">
        <v>16677.852878</v>
      </c>
      <c r="D902" s="13" t="inlineStr">
        <is>
          <t>statutory D1 (footed)</t>
        </is>
      </c>
    </row>
    <row r="903">
      <c r="A903" s="13" t="inlineStr">
        <is>
          <t>FY2023</t>
        </is>
      </c>
      <c r="B903" s="13" t="inlineStr">
        <is>
          <t>stat:id_type:no identifier</t>
        </is>
      </c>
      <c r="C903" s="13" t="n">
        <v>1655.313578</v>
      </c>
      <c r="D903" s="13" t="inlineStr">
        <is>
          <t>statutory D1 (footed)</t>
        </is>
      </c>
    </row>
    <row r="904">
      <c r="A904" s="13" t="inlineStr">
        <is>
          <t>FY2023</t>
        </is>
      </c>
      <c r="B904" s="13" t="inlineStr">
        <is>
          <t>stat:cliff_2C:2.C (BBB-)</t>
        </is>
      </c>
      <c r="C904" s="13" t="n">
        <v>9875.911306</v>
      </c>
      <c r="D904" s="13" t="inlineStr">
        <is>
          <t>statutory D1 (footed)</t>
        </is>
      </c>
    </row>
    <row r="905">
      <c r="A905" s="13" t="inlineStr">
        <is>
          <t>FY2023</t>
        </is>
      </c>
      <c r="B905" s="13" t="inlineStr">
        <is>
          <t>stat:cliff_2C:other</t>
        </is>
      </c>
      <c r="C905" s="13" t="n">
        <v>65316.642198</v>
      </c>
      <c r="D905" s="13" t="inlineStr">
        <is>
          <t>statutory D1 (footed)</t>
        </is>
      </c>
    </row>
    <row r="906">
      <c r="A906" s="13" t="inlineStr">
        <is>
          <t>FY2024</t>
        </is>
      </c>
      <c r="B906" s="13" t="inlineStr">
        <is>
          <t>stat:total:all</t>
        </is>
      </c>
      <c r="C906" s="13" t="n">
        <v>130962.441665</v>
      </c>
      <c r="D906" s="13" t="inlineStr">
        <is>
          <t>statutory D1 (footed)</t>
        </is>
      </c>
    </row>
    <row r="907">
      <c r="A907" s="13" t="inlineStr">
        <is>
          <t>FY2024</t>
        </is>
      </c>
      <c r="B907" s="13" t="inlineStr">
        <is>
          <t>stat:naic_band:NAIC 1</t>
        </is>
      </c>
      <c r="C907" s="13" t="n">
        <v>77605.750763</v>
      </c>
      <c r="D907" s="13" t="inlineStr">
        <is>
          <t>statutory D1 (footed)</t>
        </is>
      </c>
    </row>
    <row r="908">
      <c r="A908" s="13" t="inlineStr">
        <is>
          <t>FY2024</t>
        </is>
      </c>
      <c r="B908" s="13" t="inlineStr">
        <is>
          <t>stat:naic_band:NAIC 2</t>
        </is>
      </c>
      <c r="C908" s="13" t="n">
        <v>49115.706807</v>
      </c>
      <c r="D908" s="13" t="inlineStr">
        <is>
          <t>statutory D1 (footed)</t>
        </is>
      </c>
    </row>
    <row r="909">
      <c r="A909" s="13" t="inlineStr">
        <is>
          <t>FY2024</t>
        </is>
      </c>
      <c r="B909" s="13" t="inlineStr">
        <is>
          <t>stat:naic_band:NAIC 3</t>
        </is>
      </c>
      <c r="C909" s="13" t="n">
        <v>2514.891688</v>
      </c>
      <c r="D909" s="13" t="inlineStr">
        <is>
          <t>statutory D1 (footed)</t>
        </is>
      </c>
    </row>
    <row r="910">
      <c r="A910" s="13" t="inlineStr">
        <is>
          <t>FY2024</t>
        </is>
      </c>
      <c r="B910" s="13" t="inlineStr">
        <is>
          <t>stat:naic_band:NAIC 4</t>
        </is>
      </c>
      <c r="C910" s="13" t="n">
        <v>1231.535492</v>
      </c>
      <c r="D910" s="13" t="inlineStr">
        <is>
          <t>statutory D1 (footed)</t>
        </is>
      </c>
    </row>
    <row r="911">
      <c r="A911" s="13" t="inlineStr">
        <is>
          <t>FY2024</t>
        </is>
      </c>
      <c r="B911" s="13" t="inlineStr">
        <is>
          <t>stat:naic_band:NAIC 5</t>
        </is>
      </c>
      <c r="C911" s="13" t="n">
        <v>324.411261</v>
      </c>
      <c r="D911" s="13" t="inlineStr">
        <is>
          <t>statutory D1 (footed)</t>
        </is>
      </c>
    </row>
    <row r="912">
      <c r="A912" s="13" t="inlineStr">
        <is>
          <t>FY2024</t>
        </is>
      </c>
      <c r="B912" s="13" t="inlineStr">
        <is>
          <t>stat:naic_band:NAIC 6</t>
        </is>
      </c>
      <c r="C912" s="13" t="n">
        <v>170.145654</v>
      </c>
      <c r="D912" s="13" t="inlineStr">
        <is>
          <t>statutory D1 (footed)</t>
        </is>
      </c>
    </row>
    <row r="913">
      <c r="A913" s="13" t="inlineStr">
        <is>
          <t>FY2024</t>
        </is>
      </c>
      <c r="B913" s="13" t="inlineStr">
        <is>
          <t>stat:rating_source:FE (public agency rating)</t>
        </is>
      </c>
      <c r="C913" s="13" t="n">
        <v>83425.58113799999</v>
      </c>
      <c r="D913" s="13" t="inlineStr">
        <is>
          <t>statutory D1 (footed)</t>
        </is>
      </c>
    </row>
    <row r="914">
      <c r="A914" s="13" t="inlineStr">
        <is>
          <t>FY2024</t>
        </is>
      </c>
      <c r="B914" s="13" t="inlineStr">
        <is>
          <t>stat:rating_source:FM (financially modeled)</t>
        </is>
      </c>
      <c r="C914" s="13" t="n">
        <v>2181.696501</v>
      </c>
      <c r="D914" s="13" t="inlineStr">
        <is>
          <t>statutory D1 (footed)</t>
        </is>
      </c>
    </row>
    <row r="915">
      <c r="A915" s="13" t="inlineStr">
        <is>
          <t>FY2024</t>
        </is>
      </c>
      <c r="B915" s="13" t="inlineStr">
        <is>
          <t>stat:rating_source:PL (private letter)</t>
        </is>
      </c>
      <c r="C915" s="13" t="n">
        <v>25500.216037</v>
      </c>
      <c r="D915" s="13" t="inlineStr">
        <is>
          <t>statutory D1 (footed)</t>
        </is>
      </c>
    </row>
    <row r="916">
      <c r="A916" s="13" t="inlineStr">
        <is>
          <t>FY2024</t>
        </is>
      </c>
      <c r="B916" s="13" t="inlineStr">
        <is>
          <t>stat:rating_source:none (exempt/blank)</t>
        </is>
      </c>
      <c r="C916" s="13" t="n">
        <v>15381.725274</v>
      </c>
      <c r="D916" s="13" t="inlineStr">
        <is>
          <t>statutory D1 (footed)</t>
        </is>
      </c>
    </row>
    <row r="917">
      <c r="A917" s="13" t="inlineStr">
        <is>
          <t>FY2024</t>
        </is>
      </c>
      <c r="B917" s="13" t="inlineStr">
        <is>
          <t>stat:rating_source:self/temporary (Z,YE,E,M,GI...)</t>
        </is>
      </c>
      <c r="C917" s="13" t="n">
        <v>4473.222715</v>
      </c>
      <c r="D917" s="13" t="inlineStr">
        <is>
          <t>statutory D1 (footed)</t>
        </is>
      </c>
    </row>
    <row r="918">
      <c r="A918" s="13" t="inlineStr">
        <is>
          <t>FY2024</t>
        </is>
      </c>
      <c r="B918" s="13" t="inlineStr">
        <is>
          <t>stat:id_type:CUSIP</t>
        </is>
      </c>
      <c r="C918" s="13" t="n">
        <v>95884.99877599999</v>
      </c>
      <c r="D918" s="13" t="inlineStr">
        <is>
          <t>statutory D1 (footed)</t>
        </is>
      </c>
    </row>
    <row r="919">
      <c r="A919" s="13" t="inlineStr">
        <is>
          <t>FY2024</t>
        </is>
      </c>
      <c r="B919" s="13" t="inlineStr">
        <is>
          <t>stat:id_type:PPN (private placement)</t>
        </is>
      </c>
      <c r="C919" s="13" t="n">
        <v>28224.932159</v>
      </c>
      <c r="D919" s="13" t="inlineStr">
        <is>
          <t>statutory D1 (footed)</t>
        </is>
      </c>
    </row>
    <row r="920">
      <c r="A920" s="13" t="inlineStr">
        <is>
          <t>FY2024</t>
        </is>
      </c>
      <c r="B920" s="13" t="inlineStr">
        <is>
          <t>stat:id_type:no identifier</t>
        </is>
      </c>
      <c r="C920" s="13" t="n">
        <v>6852.51073</v>
      </c>
      <c r="D920" s="13" t="inlineStr">
        <is>
          <t>statutory D1 (footed)</t>
        </is>
      </c>
    </row>
    <row r="921">
      <c r="A921" s="13" t="inlineStr">
        <is>
          <t>FY2024</t>
        </is>
      </c>
      <c r="B921" s="13" t="inlineStr">
        <is>
          <t>stat:cliff_2C:2.C (BBB-)</t>
        </is>
      </c>
      <c r="C921" s="13" t="n">
        <v>18165.633679</v>
      </c>
      <c r="D921" s="13" t="inlineStr">
        <is>
          <t>statutory D1 (footed)</t>
        </is>
      </c>
    </row>
    <row r="922">
      <c r="A922" s="13" t="inlineStr">
        <is>
          <t>FY2024</t>
        </is>
      </c>
      <c r="B922" s="13" t="inlineStr">
        <is>
          <t>stat:cliff_2C:other</t>
        </is>
      </c>
      <c r="C922" s="13" t="n">
        <v>112796.807986</v>
      </c>
      <c r="D922" s="13" t="inlineStr">
        <is>
          <t>statutory D1 (footed)</t>
        </is>
      </c>
    </row>
    <row r="923">
      <c r="A923" s="13" t="inlineStr">
        <is>
          <t>FY2025</t>
        </is>
      </c>
      <c r="B923" s="13" t="inlineStr">
        <is>
          <t>stat:total:all</t>
        </is>
      </c>
      <c r="C923" s="13" t="n">
        <v>158852.395199</v>
      </c>
      <c r="D923" s="13" t="inlineStr">
        <is>
          <t>statutory D1 (footed)</t>
        </is>
      </c>
    </row>
    <row r="924">
      <c r="A924" s="13" t="inlineStr">
        <is>
          <t>FY2025</t>
        </is>
      </c>
      <c r="B924" s="13" t="inlineStr">
        <is>
          <t>stat:naic_band:NAIC 1</t>
        </is>
      </c>
      <c r="C924" s="13" t="n">
        <v>94173.705503</v>
      </c>
      <c r="D924" s="13" t="inlineStr">
        <is>
          <t>statutory D1 (footed)</t>
        </is>
      </c>
    </row>
    <row r="925">
      <c r="A925" s="13" t="inlineStr">
        <is>
          <t>FY2025</t>
        </is>
      </c>
      <c r="B925" s="13" t="inlineStr">
        <is>
          <t>stat:naic_band:NAIC 2</t>
        </is>
      </c>
      <c r="C925" s="13" t="n">
        <v>60081.027826</v>
      </c>
      <c r="D925" s="13" t="inlineStr">
        <is>
          <t>statutory D1 (footed)</t>
        </is>
      </c>
    </row>
    <row r="926">
      <c r="A926" s="13" t="inlineStr">
        <is>
          <t>FY2025</t>
        </is>
      </c>
      <c r="B926" s="13" t="inlineStr">
        <is>
          <t>stat:naic_band:NAIC 3</t>
        </is>
      </c>
      <c r="C926" s="13" t="n">
        <v>2404.314346</v>
      </c>
      <c r="D926" s="13" t="inlineStr">
        <is>
          <t>statutory D1 (footed)</t>
        </is>
      </c>
    </row>
    <row r="927">
      <c r="A927" s="13" t="inlineStr">
        <is>
          <t>FY2025</t>
        </is>
      </c>
      <c r="B927" s="13" t="inlineStr">
        <is>
          <t>stat:naic_band:NAIC 4</t>
        </is>
      </c>
      <c r="C927" s="13" t="n">
        <v>1530.685016</v>
      </c>
      <c r="D927" s="13" t="inlineStr">
        <is>
          <t>statutory D1 (footed)</t>
        </is>
      </c>
    </row>
    <row r="928">
      <c r="A928" s="13" t="inlineStr">
        <is>
          <t>FY2025</t>
        </is>
      </c>
      <c r="B928" s="13" t="inlineStr">
        <is>
          <t>stat:naic_band:NAIC 5</t>
        </is>
      </c>
      <c r="C928" s="13" t="n">
        <v>508.315926</v>
      </c>
      <c r="D928" s="13" t="inlineStr">
        <is>
          <t>statutory D1 (footed)</t>
        </is>
      </c>
    </row>
    <row r="929">
      <c r="A929" s="13" t="inlineStr">
        <is>
          <t>FY2025</t>
        </is>
      </c>
      <c r="B929" s="13" t="inlineStr">
        <is>
          <t>stat:naic_band:NAIC 6</t>
        </is>
      </c>
      <c r="C929" s="13" t="n">
        <v>154.346582</v>
      </c>
      <c r="D929" s="13" t="inlineStr">
        <is>
          <t>statutory D1 (footed)</t>
        </is>
      </c>
    </row>
    <row r="930">
      <c r="A930" s="13" t="inlineStr">
        <is>
          <t>FY2025</t>
        </is>
      </c>
      <c r="B930" s="13" t="inlineStr">
        <is>
          <t>stat:rating_source:FE (public agency rating)</t>
        </is>
      </c>
      <c r="C930" s="13" t="n">
        <v>78328.447355</v>
      </c>
      <c r="D930" s="13" t="inlineStr">
        <is>
          <t>statutory D1 (footed)</t>
        </is>
      </c>
    </row>
    <row r="931">
      <c r="A931" s="13" t="inlineStr">
        <is>
          <t>FY2025</t>
        </is>
      </c>
      <c r="B931" s="13" t="inlineStr">
        <is>
          <t>stat:rating_source:FM (financially modeled)</t>
        </is>
      </c>
      <c r="C931" s="13" t="n">
        <v>2100.771901</v>
      </c>
      <c r="D931" s="13" t="inlineStr">
        <is>
          <t>statutory D1 (footed)</t>
        </is>
      </c>
    </row>
    <row r="932">
      <c r="A932" s="13" t="inlineStr">
        <is>
          <t>FY2025</t>
        </is>
      </c>
      <c r="B932" s="13" t="inlineStr">
        <is>
          <t>stat:rating_source:PL (private letter)</t>
        </is>
      </c>
      <c r="C932" s="13" t="n">
        <v>40149.868714</v>
      </c>
      <c r="D932" s="13" t="inlineStr">
        <is>
          <t>statutory D1 (footed)</t>
        </is>
      </c>
    </row>
    <row r="933">
      <c r="A933" s="13" t="inlineStr">
        <is>
          <t>FY2025</t>
        </is>
      </c>
      <c r="B933" s="13" t="inlineStr">
        <is>
          <t>stat:rating_source:none (exempt/blank)</t>
        </is>
      </c>
      <c r="C933" s="13" t="n">
        <v>26920.692148</v>
      </c>
      <c r="D933" s="13" t="inlineStr">
        <is>
          <t>statutory D1 (footed)</t>
        </is>
      </c>
    </row>
    <row r="934">
      <c r="A934" s="13" t="inlineStr">
        <is>
          <t>FY2025</t>
        </is>
      </c>
      <c r="B934" s="13" t="inlineStr">
        <is>
          <t>stat:rating_source:self/temporary (Z,YE,E,M,GI...)</t>
        </is>
      </c>
      <c r="C934" s="13" t="n">
        <v>11352.615081</v>
      </c>
      <c r="D934" s="13" t="inlineStr">
        <is>
          <t>statutory D1 (footed)</t>
        </is>
      </c>
    </row>
    <row r="935">
      <c r="A935" s="13" t="inlineStr">
        <is>
          <t>FY2025</t>
        </is>
      </c>
      <c r="B935" s="13" t="inlineStr">
        <is>
          <t>stat:id_type:CUSIP</t>
        </is>
      </c>
      <c r="C935" s="13" t="n">
        <v>109551.182231</v>
      </c>
      <c r="D935" s="13" t="inlineStr">
        <is>
          <t>statutory D1 (footed)</t>
        </is>
      </c>
    </row>
    <row r="936">
      <c r="A936" s="13" t="inlineStr">
        <is>
          <t>FY2025</t>
        </is>
      </c>
      <c r="B936" s="13" t="inlineStr">
        <is>
          <t>stat:id_type:PPN (private placement)</t>
        </is>
      </c>
      <c r="C936" s="13" t="n">
        <v>39428.583081</v>
      </c>
      <c r="D936" s="13" t="inlineStr">
        <is>
          <t>statutory D1 (footed)</t>
        </is>
      </c>
    </row>
    <row r="937">
      <c r="A937" s="13" t="inlineStr">
        <is>
          <t>FY2025</t>
        </is>
      </c>
      <c r="B937" s="13" t="inlineStr">
        <is>
          <t>stat:id_type:no identifier</t>
        </is>
      </c>
      <c r="C937" s="13" t="n">
        <v>9872.629886999999</v>
      </c>
      <c r="D937" s="13" t="inlineStr">
        <is>
          <t>statutory D1 (footed)</t>
        </is>
      </c>
    </row>
    <row r="938">
      <c r="A938" s="13" t="inlineStr">
        <is>
          <t>FY2025</t>
        </is>
      </c>
      <c r="B938" s="13" t="inlineStr">
        <is>
          <t>stat:cliff_2C:2.C (BBB-)</t>
        </is>
      </c>
      <c r="C938" s="13" t="n">
        <v>18492.696624</v>
      </c>
      <c r="D938" s="13" t="inlineStr">
        <is>
          <t>statutory D1 (footed)</t>
        </is>
      </c>
    </row>
    <row r="939">
      <c r="A939" s="13" t="inlineStr">
        <is>
          <t>FY2025</t>
        </is>
      </c>
      <c r="B939" s="13" t="inlineStr">
        <is>
          <t>stat:cliff_2C:other</t>
        </is>
      </c>
      <c r="C939" s="13" t="n">
        <v>140359.698575</v>
      </c>
      <c r="D939" s="13" t="inlineStr">
        <is>
          <t>statutory D1 (footed)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ATHENE ENGINE WORKBOOK — README</t>
        </is>
      </c>
    </row>
    <row r="2">
      <c r="A2" s="13" t="inlineStr"/>
    </row>
    <row r="3">
      <c r="A3" s="13" t="inlineStr">
        <is>
          <t>TABS: Engine = quarterly (4Q24–1Q26 + yellow 2Q26 fill column). Engine-FY = the SAME rows annually</t>
        </is>
      </c>
    </row>
    <row r="4">
      <c r="A4" s="13" t="inlineStr">
        <is>
          <t>(FY2023–FY2025) with a live "FY25 Σ quarters" audit column. Checks must read 0. Data = raw extracted cells.</t>
        </is>
      </c>
    </row>
    <row r="5">
      <c r="A5" s="13" t="inlineStr"/>
    </row>
    <row r="6">
      <c r="A6" s="13" t="inlineStr">
        <is>
          <t>SOURCES: ATH Q4 2025 + Q1 2026 Financial Supplements (quarterly + full-year YTD columns) and the AHL 10-K</t>
        </is>
      </c>
    </row>
    <row r="7">
      <c r="A7" s="13" t="inlineStr">
        <is>
          <t>FY2025 MD&amp;A (annual comparatives incl. FY2023). URLs + sha256 in acquisition/manifest.csv. Every blue cell</t>
        </is>
      </c>
    </row>
    <row r="8">
      <c r="A8" s="13" t="inlineStr">
        <is>
          <t>was machine-extracted and passed exact cross-foot gates; the two sources were gated equal where they overlap.</t>
        </is>
      </c>
    </row>
    <row r="9">
      <c r="A9" s="13" t="inlineStr">
        <is>
          <t>Extractors: tools/parse_fin_supplement.py, tools/parse_10k_annual_tables.py.</t>
        </is>
      </c>
    </row>
    <row r="10">
      <c r="A10" s="13" t="inlineStr"/>
    </row>
    <row r="11">
      <c r="A11" s="13" t="inlineStr">
        <is>
          <t>LEGEND: blue = filed value · black bold = formula (recalculates in Excel) · grey = checks ("FAIL"/"n/a")</t>
        </is>
      </c>
    </row>
    <row r="12">
      <c r="A12" s="13" t="inlineStr">
        <is>
          <t>· yellow = fill-in. Blank FY2023 cells: those rows are published only in supplements, and the 2023-era</t>
        </is>
      </c>
    </row>
    <row r="13">
      <c r="A13" s="13" t="inlineStr">
        <is>
          <t>supplements are glyph-encoded (decoder parked). Blanks are honest gaps, not zeros.</t>
        </is>
      </c>
    </row>
    <row r="14">
      <c r="A14" s="13" t="inlineStr"/>
    </row>
    <row r="15">
      <c r="A15" s="13" t="inlineStr">
        <is>
          <t>READ THE TREND: cost of funds $5,650M (FY23) → $7,702M → $10,083M (FY25), +78% in two years, while net</t>
        </is>
      </c>
    </row>
    <row r="16">
      <c r="A16" s="13" t="inlineStr">
        <is>
          <t>investment earnings grew 49%; NIS margin 1.65% (1Q25) → 1.34% (1Q26); SRE margin below 1% in 1Q26.</t>
        </is>
      </c>
    </row>
    <row r="17">
      <c r="A17" s="13" t="inlineStr">
        <is>
          <t>Volume is outrunning margin, and the margin is losing.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2026-07-22T17:37:12Z</dcterms:created>
  <dcterms:modified xsi:type="dcterms:W3CDTF">2026-07-22T17:37:12Z</dcterms:modified>
</cp:coreProperties>
</file>