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ine" sheetId="1" state="visible" r:id="rId1"/>
    <sheet name="Checks" sheetId="2" state="visible" r:id="rId2"/>
    <sheet name="Data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4" fillId="0" borderId="0" pivotButton="0" quotePrefix="0" xfId="0"/>
    <xf numFmtId="1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ATHENE — THE QUARTERLY ENGINE  (stock &amp; flow, every line from footed extracts)</t>
        </is>
      </c>
    </row>
    <row r="2">
      <c r="A2" s="2" t="inlineStr">
        <is>
          <t>$ in millions. Blue = filed value (ATH financial supplements, sha in acquisition/manifest.csv). Black bold = formula. Row "check" shows FAIL if an identity breaks. Yellow column = fill when 2Q26 publishes.</t>
        </is>
      </c>
    </row>
    <row r="4">
      <c r="B4" s="3" t="inlineStr">
        <is>
          <t>4Q24</t>
        </is>
      </c>
      <c r="C4" s="3" t="inlineStr">
        <is>
          <t>1Q25</t>
        </is>
      </c>
      <c r="D4" s="3" t="inlineStr">
        <is>
          <t>2Q25</t>
        </is>
      </c>
      <c r="E4" s="3" t="inlineStr">
        <is>
          <t>3Q25</t>
        </is>
      </c>
      <c r="F4" s="3" t="inlineStr">
        <is>
          <t>4Q25</t>
        </is>
      </c>
      <c r="G4" s="3" t="inlineStr">
        <is>
          <t>1Q26</t>
        </is>
      </c>
      <c r="H4" s="4" t="inlineStr">
        <is>
          <t>2Q26</t>
        </is>
      </c>
    </row>
    <row r="5">
      <c r="A5" s="1" t="inlineStr">
        <is>
          <t>MONEY IN — BY CHANNEL</t>
        </is>
      </c>
    </row>
    <row r="6">
      <c r="A6" s="5" t="inlineStr">
        <is>
          <t>Retail</t>
        </is>
      </c>
      <c r="B6" s="6" t="n">
        <v>7954</v>
      </c>
      <c r="C6" s="6" t="n">
        <v>9482</v>
      </c>
      <c r="D6" s="6" t="n">
        <v>7256</v>
      </c>
      <c r="E6" s="6" t="n">
        <v>10046</v>
      </c>
      <c r="F6" s="6" t="n">
        <v>7343</v>
      </c>
      <c r="G6" s="6" t="n">
        <v>7270</v>
      </c>
      <c r="H6" s="7" t="n"/>
    </row>
    <row r="7">
      <c r="A7" s="5" t="inlineStr">
        <is>
          <t>Flow reinsurance</t>
        </is>
      </c>
      <c r="B7" s="6" t="n">
        <v>1029</v>
      </c>
      <c r="C7" s="6" t="n">
        <v>4933</v>
      </c>
      <c r="D7" s="6" t="n">
        <v>2031</v>
      </c>
      <c r="E7" s="6" t="n">
        <v>2542</v>
      </c>
      <c r="F7" s="6" t="n">
        <v>1665</v>
      </c>
      <c r="G7" s="6" t="n">
        <v>2603</v>
      </c>
      <c r="H7" s="7" t="n"/>
    </row>
    <row r="8">
      <c r="A8" s="5" t="inlineStr">
        <is>
          <t>Funding agreements</t>
        </is>
      </c>
      <c r="B8" s="6" t="n">
        <v>5167</v>
      </c>
      <c r="C8" s="6" t="n">
        <v>11144</v>
      </c>
      <c r="D8" s="6" t="n">
        <v>11707</v>
      </c>
      <c r="E8" s="6" t="n">
        <v>9724</v>
      </c>
      <c r="F8" s="6" t="n">
        <v>2800</v>
      </c>
      <c r="G8" s="6" t="n">
        <v>8531</v>
      </c>
      <c r="H8" s="7" t="n"/>
    </row>
    <row r="9">
      <c r="A9" s="5" t="inlineStr">
        <is>
          <t>Pension group annuities</t>
        </is>
      </c>
      <c r="B9" s="6" t="n">
        <v>47</v>
      </c>
      <c r="C9" s="6" t="n">
        <v>4</v>
      </c>
      <c r="D9" s="6" t="n">
        <v>1</v>
      </c>
      <c r="E9" s="6" t="n">
        <v>0</v>
      </c>
      <c r="F9" s="6" t="n">
        <v>746</v>
      </c>
      <c r="G9" s="6" t="n">
        <v>0</v>
      </c>
      <c r="H9" s="7" t="n"/>
    </row>
    <row r="10">
      <c r="A10" s="5" t="inlineStr">
        <is>
          <t>Other spread products</t>
        </is>
      </c>
      <c r="B10" s="6" t="n">
        <v>0</v>
      </c>
      <c r="C10" s="6" t="n">
        <v>0</v>
      </c>
      <c r="D10" s="6" t="n">
        <v>237</v>
      </c>
      <c r="E10" s="6" t="n">
        <v>304</v>
      </c>
      <c r="F10" s="6" t="n">
        <v>133</v>
      </c>
      <c r="G10" s="6" t="n">
        <v>1343</v>
      </c>
      <c r="H10" s="7" t="n"/>
    </row>
    <row r="11">
      <c r="A11" s="8" t="inlineStr">
        <is>
          <t>= Gross organic inflows</t>
        </is>
      </c>
      <c r="B11" s="9">
        <f>SUM(B6:B10)</f>
        <v/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</row>
    <row r="12">
      <c r="A12" s="5" t="inlineStr">
        <is>
          <t>Gross inorganic (block) inflows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1340</v>
      </c>
      <c r="G12" s="6" t="n">
        <v>0</v>
      </c>
      <c r="H12" s="7" t="n"/>
    </row>
    <row r="13">
      <c r="A13" s="8" t="inlineStr">
        <is>
          <t>= TOTAL GROSS INFLOWS</t>
        </is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  <c r="G13" s="9">
        <f>G11+G12</f>
        <v/>
      </c>
    </row>
    <row r="14">
      <c r="A14" s="5" t="inlineStr">
        <is>
          <t xml:space="preserve">   reported total (filed)</t>
        </is>
      </c>
      <c r="B14" s="6" t="n">
        <v>14197</v>
      </c>
      <c r="C14" s="6" t="n">
        <v>25563</v>
      </c>
      <c r="D14" s="6" t="n">
        <v>21232</v>
      </c>
      <c r="E14" s="6" t="n">
        <v>22616</v>
      </c>
      <c r="F14" s="6" t="n">
        <v>14027</v>
      </c>
      <c r="G14" s="6" t="n">
        <v>19747</v>
      </c>
      <c r="H14" s="7" t="n"/>
    </row>
    <row r="15">
      <c r="A15" s="2" t="inlineStr">
        <is>
          <t xml:space="preserve">   check</t>
        </is>
      </c>
      <c r="B15" s="2">
        <f>IF(B13=B14,"OK","FAIL")</f>
        <v/>
      </c>
      <c r="C15" s="2">
        <f>IF(C13=C14,"OK","FAIL")</f>
        <v/>
      </c>
      <c r="D15" s="2">
        <f>IF(D13=D14,"OK","FAIL")</f>
        <v/>
      </c>
      <c r="E15" s="2">
        <f>IF(E13=E14,"OK","FAIL")</f>
        <v/>
      </c>
      <c r="F15" s="2">
        <f>IF(F13=F14,"OK","FAIL")</f>
        <v/>
      </c>
      <c r="G15" s="2">
        <f>IF(G13=G14,"OK","FAIL")</f>
        <v/>
      </c>
    </row>
    <row r="17">
      <c r="A17" s="1" t="inlineStr">
        <is>
          <t>SAME MONEY, BY OWNER — the two cuts must agree</t>
        </is>
      </c>
    </row>
    <row r="18">
      <c r="A18" s="5" t="inlineStr">
        <is>
          <t>Inflows attributable to Athene</t>
        </is>
      </c>
      <c r="B18" s="6" t="n">
        <v>8948</v>
      </c>
      <c r="C18" s="6" t="n">
        <v>20118</v>
      </c>
      <c r="D18" s="6" t="n">
        <v>15838</v>
      </c>
      <c r="E18" s="6" t="n">
        <v>17138</v>
      </c>
      <c r="F18" s="6" t="n">
        <v>10142</v>
      </c>
      <c r="G18" s="6" t="n">
        <v>15957</v>
      </c>
      <c r="H18" s="7" t="n"/>
    </row>
    <row r="19">
      <c r="A19" s="5" t="inlineStr">
        <is>
          <t>Inflows attributable to ADIP (sidecar investors)</t>
        </is>
      </c>
      <c r="B19" s="6" t="n">
        <v>4343</v>
      </c>
      <c r="C19" s="6" t="n">
        <v>4956</v>
      </c>
      <c r="D19" s="6" t="n">
        <v>5019</v>
      </c>
      <c r="E19" s="6" t="n">
        <v>4962</v>
      </c>
      <c r="F19" s="6" t="n">
        <v>3515</v>
      </c>
      <c r="G19" s="6" t="n">
        <v>3453</v>
      </c>
      <c r="H19" s="7" t="n"/>
    </row>
    <row r="20">
      <c r="A20" s="5" t="inlineStr">
        <is>
          <t>Inflows ceded to third-party reinsurers</t>
        </is>
      </c>
      <c r="B20" s="6" t="n">
        <v>906</v>
      </c>
      <c r="C20" s="6" t="n">
        <v>489</v>
      </c>
      <c r="D20" s="6" t="n">
        <v>375</v>
      </c>
      <c r="E20" s="6" t="n">
        <v>516</v>
      </c>
      <c r="F20" s="6" t="n">
        <v>370</v>
      </c>
      <c r="G20" s="6" t="n">
        <v>337</v>
      </c>
      <c r="H20" s="7" t="n"/>
    </row>
    <row r="21">
      <c r="A21" s="8" t="inlineStr">
        <is>
          <t>= Total by owner</t>
        </is>
      </c>
      <c r="B21" s="9">
        <f>SUM(B18:B20)</f>
        <v/>
      </c>
      <c r="C21" s="9">
        <f>SUM(C18:C20)</f>
        <v/>
      </c>
      <c r="D21" s="9">
        <f>SUM(D18:D20)</f>
        <v/>
      </c>
      <c r="E21" s="9">
        <f>SUM(E18:E20)</f>
        <v/>
      </c>
      <c r="F21" s="9">
        <f>SUM(F18:F20)</f>
        <v/>
      </c>
      <c r="G21" s="9">
        <f>SUM(G18:G20)</f>
        <v/>
      </c>
    </row>
    <row r="22">
      <c r="A22" s="2" t="inlineStr">
        <is>
          <t xml:space="preserve">   check vs channel cut</t>
        </is>
      </c>
      <c r="B22" s="2">
        <f>IF(B21=B14,"OK","FAIL")</f>
        <v/>
      </c>
      <c r="C22" s="2">
        <f>IF(C21=C14,"OK","FAIL")</f>
        <v/>
      </c>
      <c r="D22" s="2">
        <f>IF(D21=D14,"OK","FAIL")</f>
        <v/>
      </c>
      <c r="E22" s="2">
        <f>IF(E21=E14,"OK","FAIL")</f>
        <v/>
      </c>
      <c r="F22" s="2">
        <f>IF(F21=F14,"OK","FAIL")</f>
        <v/>
      </c>
      <c r="G22" s="2">
        <f>IF(G21=G14,"OK","FAIL")</f>
        <v/>
      </c>
    </row>
    <row r="24">
      <c r="A24" s="1" t="inlineStr">
        <is>
          <t>MONEY OUT</t>
        </is>
      </c>
    </row>
    <row r="25">
      <c r="A25" s="5" t="inlineStr">
        <is>
          <t>Outflows attributable to Athene</t>
        </is>
      </c>
      <c r="B25" s="6" t="n">
        <v>-5697</v>
      </c>
      <c r="C25" s="6" t="n">
        <v>-7017</v>
      </c>
      <c r="D25" s="6" t="n">
        <v>-5813</v>
      </c>
      <c r="E25" s="6" t="n">
        <v>-9181</v>
      </c>
      <c r="F25" s="6" t="n">
        <v>-7714</v>
      </c>
      <c r="G25" s="6" t="n">
        <v>-8612</v>
      </c>
      <c r="H25" s="7" t="n"/>
    </row>
    <row r="26">
      <c r="A26" s="5" t="inlineStr">
        <is>
          <t>Outflows attributable to ADIP</t>
        </is>
      </c>
      <c r="B26" s="6" t="n">
        <v>-1439</v>
      </c>
      <c r="C26" s="6" t="n">
        <v>-1375</v>
      </c>
      <c r="D26" s="6" t="n">
        <v>-1417</v>
      </c>
      <c r="E26" s="6" t="n">
        <v>-1457</v>
      </c>
      <c r="F26" s="6" t="n">
        <v>-1554</v>
      </c>
      <c r="G26" s="6" t="n">
        <v>-2156</v>
      </c>
      <c r="H26" s="7" t="n"/>
    </row>
    <row r="27">
      <c r="A27" s="8" t="inlineStr">
        <is>
          <t>= Total gross outflows</t>
        </is>
      </c>
      <c r="B27" s="9">
        <f>B25+B26</f>
        <v/>
      </c>
      <c r="C27" s="9">
        <f>C25+C26</f>
        <v/>
      </c>
      <c r="D27" s="9">
        <f>D25+D26</f>
        <v/>
      </c>
      <c r="E27" s="9">
        <f>E25+E26</f>
        <v/>
      </c>
      <c r="F27" s="9">
        <f>F25+F26</f>
        <v/>
      </c>
      <c r="G27" s="9">
        <f>G25+G26</f>
        <v/>
      </c>
    </row>
    <row r="28">
      <c r="A28" s="5" t="inlineStr">
        <is>
          <t xml:space="preserve">   reported total (filed)</t>
        </is>
      </c>
      <c r="B28" s="6" t="n">
        <v>-7136</v>
      </c>
      <c r="C28" s="6" t="n">
        <v>-8392</v>
      </c>
      <c r="D28" s="6" t="n">
        <v>-7230</v>
      </c>
      <c r="E28" s="6" t="n">
        <v>-10638</v>
      </c>
      <c r="F28" s="6" t="n">
        <v>-9268</v>
      </c>
      <c r="G28" s="6" t="n">
        <v>-10768</v>
      </c>
      <c r="H28" s="7" t="n"/>
    </row>
    <row r="29">
      <c r="A29" s="2" t="inlineStr">
        <is>
          <t xml:space="preserve">   check</t>
        </is>
      </c>
      <c r="B29" s="2">
        <f>IF(B27=B28,"OK","FAIL")</f>
        <v/>
      </c>
      <c r="C29" s="2">
        <f>IF(C27=C28,"OK","FAIL")</f>
        <v/>
      </c>
      <c r="D29" s="2">
        <f>IF(D27=D28,"OK","FAIL")</f>
        <v/>
      </c>
      <c r="E29" s="2">
        <f>IF(E27=E28,"OK","FAIL")</f>
        <v/>
      </c>
      <c r="F29" s="2">
        <f>IF(F27=F28,"OK","FAIL")</f>
        <v/>
      </c>
      <c r="G29" s="2">
        <f>IF(G27=G28,"OK","FAIL")</f>
        <v/>
      </c>
    </row>
    <row r="30">
      <c r="A30" s="2" t="inlineStr">
        <is>
          <t>Athene outflows by type:</t>
        </is>
      </c>
    </row>
    <row r="31">
      <c r="A31" s="5" t="inlineStr">
        <is>
          <t xml:space="preserve">    Maturity-driven / contractual</t>
        </is>
      </c>
      <c r="B31" s="6" t="n">
        <v>-2167</v>
      </c>
      <c r="C31" s="6" t="n">
        <v>-3535</v>
      </c>
      <c r="D31" s="6" t="n">
        <v>-2389</v>
      </c>
      <c r="E31" s="6" t="n">
        <v>-5525</v>
      </c>
      <c r="F31" s="6" t="n">
        <v>-3641</v>
      </c>
      <c r="G31" s="6" t="n">
        <v>-4960</v>
      </c>
      <c r="H31" s="7" t="n"/>
    </row>
    <row r="32">
      <c r="A32" s="5" t="inlineStr">
        <is>
          <t xml:space="preserve">    Policyholder-driven</t>
        </is>
      </c>
      <c r="B32" s="6" t="n">
        <v>-3530</v>
      </c>
      <c r="C32" s="6" t="n">
        <v>-3482</v>
      </c>
      <c r="D32" s="6" t="n">
        <v>-3424</v>
      </c>
      <c r="E32" s="6" t="n">
        <v>-3656</v>
      </c>
      <c r="F32" s="6" t="n">
        <v>-4073</v>
      </c>
      <c r="G32" s="6" t="n">
        <v>-3652</v>
      </c>
      <c r="H32" s="7" t="n"/>
    </row>
    <row r="33">
      <c r="A33" s="5" t="inlineStr">
        <is>
          <t xml:space="preserve">        income-oriented (planned)</t>
        </is>
      </c>
      <c r="B33" s="6" t="n">
        <v>-1661</v>
      </c>
      <c r="C33" s="6" t="n">
        <v>-1680</v>
      </c>
      <c r="D33" s="6" t="n">
        <v>-1609</v>
      </c>
      <c r="E33" s="6" t="n">
        <v>-1660</v>
      </c>
      <c r="F33" s="6" t="n">
        <v>-1922</v>
      </c>
      <c r="G33" s="6" t="n">
        <v>-1845</v>
      </c>
      <c r="H33" s="7" t="n"/>
    </row>
    <row r="34">
      <c r="A34" s="5" t="inlineStr">
        <is>
          <t xml:space="preserve">        out of surrender charge (planned)</t>
        </is>
      </c>
      <c r="B34" s="6" t="n">
        <v>-1131</v>
      </c>
      <c r="C34" s="6" t="n">
        <v>-1058</v>
      </c>
      <c r="D34" s="6" t="n">
        <v>-1025</v>
      </c>
      <c r="E34" s="6" t="n">
        <v>-1093</v>
      </c>
      <c r="F34" s="6" t="n">
        <v>-1198</v>
      </c>
      <c r="G34" s="6" t="n">
        <v>-1089</v>
      </c>
      <c r="H34" s="7" t="n"/>
    </row>
    <row r="35">
      <c r="A35" s="5" t="inlineStr">
        <is>
          <t xml:space="preserve">        in surrender charge (unplanned)</t>
        </is>
      </c>
      <c r="B35" s="6" t="n">
        <v>-738</v>
      </c>
      <c r="C35" s="6" t="n">
        <v>-744</v>
      </c>
      <c r="D35" s="6" t="n">
        <v>-790</v>
      </c>
      <c r="E35" s="6" t="n">
        <v>-903</v>
      </c>
      <c r="F35" s="6" t="n">
        <v>-953</v>
      </c>
      <c r="G35" s="6" t="n">
        <v>-718</v>
      </c>
      <c r="H35" s="7" t="n"/>
    </row>
    <row r="36">
      <c r="A36" s="2" t="inlineStr">
        <is>
          <t xml:space="preserve">   check: policyholder = its three parts</t>
        </is>
      </c>
      <c r="B36" s="2">
        <f>IF(B32=SUM(B33:B35),"OK","FAIL")</f>
        <v/>
      </c>
      <c r="C36" s="2">
        <f>IF(C32=SUM(C33:C35),"OK","FAIL")</f>
        <v/>
      </c>
      <c r="D36" s="2">
        <f>IF(D32=SUM(D33:D35),"OK","FAIL")</f>
        <v/>
      </c>
      <c r="E36" s="2">
        <f>IF(E32=SUM(E33:E35),"OK","FAIL")</f>
        <v/>
      </c>
      <c r="F36" s="2">
        <f>IF(F32=SUM(F33:F35),"OK","FAIL")</f>
        <v/>
      </c>
      <c r="G36" s="2">
        <f>IF(G32=SUM(G33:G35),"OK","FAIL")</f>
        <v/>
      </c>
    </row>
    <row r="37">
      <c r="A37" s="2" t="inlineStr">
        <is>
          <t xml:space="preserve">   check: maturity + policyholder = Athene outflows</t>
        </is>
      </c>
      <c r="B37" s="2">
        <f>IF(B31+B32=B25,"OK","FAIL")</f>
        <v/>
      </c>
      <c r="C37" s="2">
        <f>IF(C31+C32=C25,"OK","FAIL")</f>
        <v/>
      </c>
      <c r="D37" s="2">
        <f>IF(D31+D32=D25,"OK","FAIL")</f>
        <v/>
      </c>
      <c r="E37" s="2">
        <f>IF(E31+E32=E25,"OK","FAIL")</f>
        <v/>
      </c>
      <c r="F37" s="2">
        <f>IF(F31+F32=F25,"OK","FAIL")</f>
        <v/>
      </c>
      <c r="G37" s="2">
        <f>IF(G31+G32=G25,"OK","FAIL")</f>
        <v/>
      </c>
    </row>
    <row r="39">
      <c r="A39" s="1" t="inlineStr">
        <is>
          <t>NET FLOWS</t>
        </is>
      </c>
    </row>
    <row r="40">
      <c r="A40" s="8" t="inlineStr">
        <is>
          <t>= Net flows (inflows + outflows)</t>
        </is>
      </c>
      <c r="B40" s="9">
        <f>B13+B27</f>
        <v/>
      </c>
      <c r="C40" s="9">
        <f>C13+C27</f>
        <v/>
      </c>
      <c r="D40" s="9">
        <f>D13+D27</f>
        <v/>
      </c>
      <c r="E40" s="9">
        <f>E13+E27</f>
        <v/>
      </c>
      <c r="F40" s="9">
        <f>F13+F27</f>
        <v/>
      </c>
      <c r="G40" s="9">
        <f>G13+G27</f>
        <v/>
      </c>
    </row>
    <row r="41">
      <c r="A41" s="5" t="inlineStr">
        <is>
          <t xml:space="preserve">   reported net flows (filed)</t>
        </is>
      </c>
      <c r="B41" s="6" t="n">
        <v>7061</v>
      </c>
      <c r="C41" s="6" t="n">
        <v>17171</v>
      </c>
      <c r="D41" s="6" t="n">
        <v>14002</v>
      </c>
      <c r="E41" s="6" t="n">
        <v>11978</v>
      </c>
      <c r="F41" s="6" t="n">
        <v>4759</v>
      </c>
      <c r="G41" s="6" t="n">
        <v>8979</v>
      </c>
      <c r="H41" s="7" t="n"/>
    </row>
    <row r="42">
      <c r="A42" s="2" t="inlineStr">
        <is>
          <t xml:space="preserve">   check</t>
        </is>
      </c>
      <c r="B42" s="2">
        <f>IF(B40=B41,"OK","FAIL")</f>
        <v/>
      </c>
      <c r="C42" s="2">
        <f>IF(C40=C41,"OK","FAIL")</f>
        <v/>
      </c>
      <c r="D42" s="2">
        <f>IF(D40=D41,"OK","FAIL")</f>
        <v/>
      </c>
      <c r="E42" s="2">
        <f>IF(E40=E41,"OK","FAIL")</f>
        <v/>
      </c>
      <c r="F42" s="2">
        <f>IF(F40=F41,"OK","FAIL")</f>
        <v/>
      </c>
      <c r="G42" s="2">
        <f>IF(G40=G41,"OK","FAIL")</f>
        <v/>
      </c>
    </row>
    <row r="44">
      <c r="A44" s="1" t="inlineStr">
        <is>
          <t>RESERVES — STOCK &amp; FLOW (net reserve liabilities)</t>
        </is>
      </c>
    </row>
    <row r="45">
      <c r="A45" s="5" t="inlineStr">
        <is>
          <t>Reserves — beginning</t>
        </is>
      </c>
      <c r="B45" s="6" t="n">
        <v>225899</v>
      </c>
      <c r="C45" s="6" t="n">
        <v>225926</v>
      </c>
      <c r="D45" s="6" t="n">
        <v>241666</v>
      </c>
      <c r="E45" s="6" t="n">
        <v>254572</v>
      </c>
      <c r="F45" s="6" t="n">
        <v>266451</v>
      </c>
      <c r="G45" s="6" t="n">
        <v>271233</v>
      </c>
      <c r="H45" s="7" t="n"/>
    </row>
    <row r="46">
      <c r="A46" s="5" t="inlineStr">
        <is>
          <t>+ Net inflows (Athene share)</t>
        </is>
      </c>
      <c r="B46" s="6" t="n">
        <v>9126</v>
      </c>
      <c r="C46" s="6" t="n">
        <v>20323</v>
      </c>
      <c r="D46" s="6" t="n">
        <v>16075</v>
      </c>
      <c r="E46" s="6" t="n">
        <v>17695</v>
      </c>
      <c r="F46" s="6" t="n">
        <v>10565</v>
      </c>
      <c r="G46" s="6" t="n">
        <v>16062</v>
      </c>
      <c r="H46" s="7" t="n"/>
    </row>
    <row r="47">
      <c r="A47" s="5" t="inlineStr">
        <is>
          <t>− Net withdrawals</t>
        </is>
      </c>
      <c r="B47" s="6" t="n">
        <v>-5697</v>
      </c>
      <c r="C47" s="6" t="n">
        <v>-7017</v>
      </c>
      <c r="D47" s="6" t="n">
        <v>-5813</v>
      </c>
      <c r="E47" s="6" t="n">
        <v>-9181</v>
      </c>
      <c r="F47" s="6" t="n">
        <v>-7714</v>
      </c>
      <c r="G47" s="6" t="n">
        <v>-8612</v>
      </c>
      <c r="H47" s="7" t="n"/>
    </row>
    <row r="48">
      <c r="A48" s="5" t="inlineStr">
        <is>
          <t>± ACRA ownership changes</t>
        </is>
      </c>
      <c r="B48" s="6" t="n">
        <v>-1774</v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7" t="n"/>
    </row>
    <row r="49">
      <c r="A49" s="5" t="inlineStr">
        <is>
          <t>+ Other reserve changes (credited interest &amp; misc)</t>
        </is>
      </c>
      <c r="B49" s="6" t="n">
        <v>-1628</v>
      </c>
      <c r="C49" s="6" t="n">
        <v>2434</v>
      </c>
      <c r="D49" s="6" t="n">
        <v>2644</v>
      </c>
      <c r="E49" s="6" t="n">
        <v>3365</v>
      </c>
      <c r="F49" s="6" t="n">
        <v>1931</v>
      </c>
      <c r="G49" s="6" t="n">
        <v>506</v>
      </c>
      <c r="H49" s="7" t="n"/>
    </row>
    <row r="50">
      <c r="A50" s="8" t="inlineStr">
        <is>
          <t>= Reserves — ending</t>
        </is>
      </c>
      <c r="B50" s="9">
        <f>SUM(B45:B49)</f>
        <v/>
      </c>
      <c r="C50" s="9">
        <f>SUM(C45:C49)</f>
        <v/>
      </c>
      <c r="D50" s="9">
        <f>SUM(D45:D49)</f>
        <v/>
      </c>
      <c r="E50" s="9">
        <f>SUM(E45:E49)</f>
        <v/>
      </c>
      <c r="F50" s="9">
        <f>SUM(F45:F49)</f>
        <v/>
      </c>
      <c r="G50" s="9">
        <f>SUM(G45:G49)</f>
        <v/>
      </c>
    </row>
    <row r="51">
      <c r="A51" s="5" t="inlineStr">
        <is>
          <t xml:space="preserve">   reported ending (filed)</t>
        </is>
      </c>
      <c r="B51" s="6" t="n">
        <v>225926</v>
      </c>
      <c r="C51" s="6" t="n">
        <v>241666</v>
      </c>
      <c r="D51" s="6" t="n">
        <v>254572</v>
      </c>
      <c r="E51" s="6" t="n">
        <v>266451</v>
      </c>
      <c r="F51" s="6" t="n">
        <v>271233</v>
      </c>
      <c r="G51" s="6" t="n">
        <v>279189</v>
      </c>
      <c r="H51" s="7" t="n"/>
    </row>
    <row r="52">
      <c r="A52" s="2" t="inlineStr">
        <is>
          <t xml:space="preserve">   check: identity</t>
        </is>
      </c>
      <c r="B52" s="2">
        <f>IF(B50=B51,"OK","FAIL")</f>
        <v/>
      </c>
      <c r="C52" s="2">
        <f>IF(C50=C51,"OK","FAIL")</f>
        <v/>
      </c>
      <c r="D52" s="2">
        <f>IF(D50=D51,"OK","FAIL")</f>
        <v/>
      </c>
      <c r="E52" s="2">
        <f>IF(E50=E51,"OK","FAIL")</f>
        <v/>
      </c>
      <c r="F52" s="2">
        <f>IF(F50=F51,"OK","FAIL")</f>
        <v/>
      </c>
      <c r="G52" s="2">
        <f>IF(G50=G51,"OK","FAIL")</f>
        <v/>
      </c>
    </row>
    <row r="53">
      <c r="A53" s="2" t="inlineStr">
        <is>
          <t xml:space="preserve">   check: continuity (begin = prior end)</t>
        </is>
      </c>
      <c r="B53" s="2" t="inlineStr">
        <is>
          <t>n/a</t>
        </is>
      </c>
      <c r="C53" s="2">
        <f>IF(C45=B51,"OK","FAIL")</f>
        <v/>
      </c>
      <c r="D53" s="2">
        <f>IF(D45=C51,"OK","FAIL")</f>
        <v/>
      </c>
      <c r="E53" s="2">
        <f>IF(E45=D51,"OK","FAIL")</f>
        <v/>
      </c>
      <c r="F53" s="2">
        <f>IF(F45=E51,"OK","FAIL")</f>
        <v/>
      </c>
      <c r="G53" s="2">
        <f>IF(G45=F51,"OK","FAIL")</f>
        <v/>
      </c>
    </row>
    <row r="55">
      <c r="A55" s="1" t="inlineStr">
        <is>
          <t>THE SIDECAR LEDGER — ACRA noncontrolling interests reserves</t>
        </is>
      </c>
    </row>
    <row r="56">
      <c r="A56" s="5" t="inlineStr">
        <is>
          <t>ACRA reserves — beginning</t>
        </is>
      </c>
      <c r="B56" s="6" t="n">
        <v>68092</v>
      </c>
      <c r="C56" s="6" t="n">
        <v>72164</v>
      </c>
      <c r="D56" s="6" t="n">
        <v>76842</v>
      </c>
      <c r="E56" s="6" t="n">
        <v>81809</v>
      </c>
      <c r="F56" s="6" t="n">
        <v>86826</v>
      </c>
      <c r="G56" s="6" t="n">
        <v>89725</v>
      </c>
      <c r="H56" s="7" t="n"/>
    </row>
    <row r="57">
      <c r="A57" s="5" t="inlineStr">
        <is>
          <t>+ Inflows</t>
        </is>
      </c>
      <c r="B57" s="6" t="n">
        <v>4418</v>
      </c>
      <c r="C57" s="6" t="n">
        <v>5011</v>
      </c>
      <c r="D57" s="6" t="n">
        <v>5091</v>
      </c>
      <c r="E57" s="6" t="n">
        <v>5167</v>
      </c>
      <c r="F57" s="6" t="n">
        <v>3723</v>
      </c>
      <c r="G57" s="6" t="n">
        <v>3470</v>
      </c>
      <c r="H57" s="7" t="n"/>
    </row>
    <row r="58">
      <c r="A58" s="5" t="inlineStr">
        <is>
          <t>− Withdrawals</t>
        </is>
      </c>
      <c r="B58" s="6" t="n">
        <v>-1439</v>
      </c>
      <c r="C58" s="6" t="n">
        <v>-1375</v>
      </c>
      <c r="D58" s="6" t="n">
        <v>-1417</v>
      </c>
      <c r="E58" s="6" t="n">
        <v>-1457</v>
      </c>
      <c r="F58" s="6" t="n">
        <v>-1554</v>
      </c>
      <c r="G58" s="6" t="n">
        <v>-2156</v>
      </c>
      <c r="H58" s="7" t="n"/>
    </row>
    <row r="59">
      <c r="A59" s="5" t="inlineStr">
        <is>
          <t>± ACRA ownership changes</t>
        </is>
      </c>
      <c r="B59" s="6" t="n">
        <v>1774</v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7" t="n"/>
    </row>
    <row r="60">
      <c r="A60" s="5" t="inlineStr">
        <is>
          <t>+ Other reserve changes</t>
        </is>
      </c>
      <c r="B60" s="6" t="n">
        <v>-681</v>
      </c>
      <c r="C60" s="6" t="n">
        <v>1042</v>
      </c>
      <c r="D60" s="6" t="n">
        <v>1293</v>
      </c>
      <c r="E60" s="6" t="n">
        <v>1307</v>
      </c>
      <c r="F60" s="6" t="n">
        <v>730</v>
      </c>
      <c r="G60" s="6" t="n">
        <v>279</v>
      </c>
      <c r="H60" s="7" t="n"/>
    </row>
    <row r="61">
      <c r="A61" s="8" t="inlineStr">
        <is>
          <t>= ACRA reserves — ending</t>
        </is>
      </c>
      <c r="B61" s="9">
        <f>SUM(B56:B60)</f>
        <v/>
      </c>
      <c r="C61" s="9">
        <f>SUM(C56:C60)</f>
        <v/>
      </c>
      <c r="D61" s="9">
        <f>SUM(D56:D60)</f>
        <v/>
      </c>
      <c r="E61" s="9">
        <f>SUM(E56:E60)</f>
        <v/>
      </c>
      <c r="F61" s="9">
        <f>SUM(F56:F60)</f>
        <v/>
      </c>
      <c r="G61" s="9">
        <f>SUM(G56:G60)</f>
        <v/>
      </c>
    </row>
    <row r="62">
      <c r="A62" s="5" t="inlineStr">
        <is>
          <t xml:space="preserve">   reported ending (filed)</t>
        </is>
      </c>
      <c r="B62" s="6" t="n">
        <v>72164</v>
      </c>
      <c r="C62" s="6" t="n">
        <v>76842</v>
      </c>
      <c r="D62" s="6" t="n">
        <v>81809</v>
      </c>
      <c r="E62" s="6" t="n">
        <v>86826</v>
      </c>
      <c r="F62" s="6" t="n">
        <v>89725</v>
      </c>
      <c r="G62" s="6" t="n">
        <v>91318</v>
      </c>
      <c r="H62" s="7" t="n"/>
    </row>
    <row r="63">
      <c r="A63" s="2" t="inlineStr">
        <is>
          <t xml:space="preserve">   check</t>
        </is>
      </c>
      <c r="B63" s="2">
        <f>IF(B61=B62,"OK","FAIL")</f>
        <v/>
      </c>
      <c r="C63" s="2">
        <f>IF(C61=C62,"OK","FAIL")</f>
        <v/>
      </c>
      <c r="D63" s="2">
        <f>IF(D61=D62,"OK","FAIL")</f>
        <v/>
      </c>
      <c r="E63" s="2">
        <f>IF(E61=E62,"OK","FAIL")</f>
        <v/>
      </c>
      <c r="F63" s="2">
        <f>IF(F61=F62,"OK","FAIL")</f>
        <v/>
      </c>
      <c r="G63" s="2">
        <f>IF(G61=G62,"OK","FAIL")</f>
        <v/>
      </c>
    </row>
    <row r="65">
      <c r="A65" s="1" t="inlineStr">
        <is>
          <t>RESERVE STOCK BY PRODUCT (period-ends available in clean docs)</t>
        </is>
      </c>
    </row>
    <row r="66">
      <c r="A66" s="5" t="inlineStr">
        <is>
          <t>Indexed annuities</t>
        </is>
      </c>
      <c r="B66" s="6" t="n">
        <v>82711</v>
      </c>
      <c r="C66" s="6" t="n"/>
      <c r="D66" s="6" t="n"/>
      <c r="E66" s="6" t="n"/>
      <c r="F66" s="6" t="n">
        <v>87322</v>
      </c>
      <c r="G66" s="6" t="n">
        <v>86377</v>
      </c>
      <c r="H66" s="7" t="n"/>
    </row>
    <row r="67">
      <c r="A67" s="5" t="inlineStr">
        <is>
          <t>Fixed rate annuities</t>
        </is>
      </c>
      <c r="B67" s="6" t="n">
        <v>62705</v>
      </c>
      <c r="C67" s="6" t="n"/>
      <c r="D67" s="6" t="n"/>
      <c r="E67" s="6" t="n"/>
      <c r="F67" s="6" t="n">
        <v>77774</v>
      </c>
      <c r="G67" s="6" t="n">
        <v>82324</v>
      </c>
      <c r="H67" s="7" t="n"/>
    </row>
    <row r="68">
      <c r="A68" s="8" t="inlineStr">
        <is>
          <t>= Total deferred annuities</t>
        </is>
      </c>
      <c r="B68" s="9">
        <f>B66+B67</f>
        <v/>
      </c>
      <c r="C68" s="9">
        <f>C66+C67</f>
        <v/>
      </c>
      <c r="D68" s="9">
        <f>D66+D67</f>
        <v/>
      </c>
      <c r="E68" s="9">
        <f>E66+E67</f>
        <v/>
      </c>
      <c r="F68" s="9">
        <f>F66+F67</f>
        <v/>
      </c>
      <c r="G68" s="9">
        <f>G66+G67</f>
        <v/>
      </c>
    </row>
    <row r="69">
      <c r="A69" s="5" t="inlineStr">
        <is>
          <t>Pension group annuities</t>
        </is>
      </c>
      <c r="B69" s="6" t="n">
        <v>24986</v>
      </c>
      <c r="C69" s="6" t="n"/>
      <c r="D69" s="6" t="n"/>
      <c r="E69" s="6" t="n"/>
      <c r="F69" s="6" t="n">
        <v>25088</v>
      </c>
      <c r="G69" s="6" t="n">
        <v>24249</v>
      </c>
      <c r="H69" s="7" t="n"/>
    </row>
    <row r="70">
      <c r="A70" s="5" t="inlineStr">
        <is>
          <t>Payout annuities</t>
        </is>
      </c>
      <c r="B70" s="6" t="n">
        <v>4701</v>
      </c>
      <c r="C70" s="6" t="n"/>
      <c r="D70" s="6" t="n"/>
      <c r="E70" s="6" t="n"/>
      <c r="F70" s="6" t="n">
        <v>5066</v>
      </c>
      <c r="G70" s="6" t="n">
        <v>5239</v>
      </c>
      <c r="H70" s="7" t="n"/>
    </row>
    <row r="71">
      <c r="A71" s="5" t="inlineStr">
        <is>
          <t>Funding agreements (the runnable slice)</t>
        </is>
      </c>
      <c r="B71" s="6" t="n">
        <v>47384</v>
      </c>
      <c r="C71" s="6" t="n"/>
      <c r="D71" s="6" t="n"/>
      <c r="E71" s="6" t="n"/>
      <c r="F71" s="6" t="n">
        <v>71433</v>
      </c>
      <c r="G71" s="6" t="n">
        <v>75962</v>
      </c>
      <c r="H71" s="7" t="n"/>
    </row>
    <row r="72">
      <c r="A72" s="5" t="inlineStr">
        <is>
          <t>Life and other</t>
        </is>
      </c>
      <c r="B72" s="6" t="n">
        <v>3439</v>
      </c>
      <c r="C72" s="6" t="n"/>
      <c r="D72" s="6" t="n"/>
      <c r="E72" s="6" t="n"/>
      <c r="F72" s="6" t="n">
        <v>4550</v>
      </c>
      <c r="G72" s="6" t="n">
        <v>5038</v>
      </c>
      <c r="H72" s="7" t="n"/>
    </row>
    <row r="73">
      <c r="A73" s="8" t="inlineStr">
        <is>
          <t>= Total net reserve liabilities</t>
        </is>
      </c>
      <c r="B73" s="9">
        <f>B68+SUM(B69:B72)</f>
        <v/>
      </c>
      <c r="C73" s="9">
        <f>C68+SUM(C69:C72)</f>
        <v/>
      </c>
      <c r="D73" s="9">
        <f>D68+SUM(D69:D72)</f>
        <v/>
      </c>
      <c r="E73" s="9">
        <f>E68+SUM(E69:E72)</f>
        <v/>
      </c>
      <c r="F73" s="9">
        <f>F68+SUM(F69:F72)</f>
        <v/>
      </c>
      <c r="G73" s="9">
        <f>G68+SUM(G69:G72)</f>
        <v/>
      </c>
    </row>
    <row r="74">
      <c r="A74" s="5" t="inlineStr">
        <is>
          <t xml:space="preserve">   reported total (filed)</t>
        </is>
      </c>
      <c r="B74" s="6" t="n">
        <v>225926</v>
      </c>
      <c r="C74" s="6" t="n"/>
      <c r="D74" s="6" t="n"/>
      <c r="E74" s="6" t="n"/>
      <c r="F74" s="6" t="n">
        <v>271233</v>
      </c>
      <c r="G74" s="6" t="n">
        <v>279189</v>
      </c>
      <c r="H74" s="7" t="n"/>
    </row>
    <row r="75">
      <c r="A75" s="2" t="inlineStr">
        <is>
          <t xml:space="preserve">   check (only where period-end filed)</t>
        </is>
      </c>
      <c r="B75" s="2">
        <f>IF(B74="","n/a",IF(B73=B74,"OK","FAIL"))</f>
        <v/>
      </c>
      <c r="C75" s="2">
        <f>IF(C74="","n/a",IF(C73=C74,"OK","FAIL"))</f>
        <v/>
      </c>
      <c r="D75" s="2">
        <f>IF(D74="","n/a",IF(D73=D74,"OK","FAIL"))</f>
        <v/>
      </c>
      <c r="E75" s="2">
        <f>IF(E74="","n/a",IF(E73=E74,"OK","FAIL"))</f>
        <v/>
      </c>
      <c r="F75" s="2">
        <f>IF(F74="","n/a",IF(F73=F74,"OK","FAIL"))</f>
        <v/>
      </c>
      <c r="G75" s="2">
        <f>IF(G74="","n/a",IF(G73=G74,"OK","FAIL"))</f>
        <v/>
      </c>
    </row>
    <row r="77">
      <c r="A77" s="1" t="inlineStr">
        <is>
          <t>THE INCOME ENGINE — spread related earnings</t>
        </is>
      </c>
    </row>
    <row r="78">
      <c r="A78" s="5" t="inlineStr">
        <is>
          <t>Fixed income &amp; other net investment income</t>
        </is>
      </c>
      <c r="B78" s="6" t="n">
        <v>2914</v>
      </c>
      <c r="C78" s="6" t="n">
        <v>2916</v>
      </c>
      <c r="D78" s="6" t="n">
        <v>3180</v>
      </c>
      <c r="E78" s="6" t="n">
        <v>3425</v>
      </c>
      <c r="F78" s="6" t="n">
        <v>3505</v>
      </c>
      <c r="G78" s="6" t="n">
        <v>3551</v>
      </c>
      <c r="H78" s="7" t="n"/>
    </row>
    <row r="79">
      <c r="A79" s="5" t="inlineStr">
        <is>
          <t>Alternatives net investment income</t>
        </is>
      </c>
      <c r="B79" s="6" t="n">
        <v>269</v>
      </c>
      <c r="C79" s="6" t="n">
        <v>315</v>
      </c>
      <c r="D79" s="6" t="n">
        <v>319</v>
      </c>
      <c r="E79" s="6" t="n">
        <v>321</v>
      </c>
      <c r="F79" s="6" t="n">
        <v>344</v>
      </c>
      <c r="G79" s="6" t="n">
        <v>210</v>
      </c>
      <c r="H79" s="7" t="n"/>
    </row>
    <row r="80">
      <c r="A80" s="8" t="inlineStr">
        <is>
          <t>= Net investment earnings</t>
        </is>
      </c>
      <c r="B80" s="9">
        <f>B78+B79</f>
        <v/>
      </c>
      <c r="C80" s="9">
        <f>C78+C79</f>
        <v/>
      </c>
      <c r="D80" s="9">
        <f>D78+D79</f>
        <v/>
      </c>
      <c r="E80" s="9">
        <f>E78+E79</f>
        <v/>
      </c>
      <c r="F80" s="9">
        <f>F78+F79</f>
        <v/>
      </c>
      <c r="G80" s="9">
        <f>G78+G79</f>
        <v/>
      </c>
    </row>
    <row r="81">
      <c r="A81" s="5" t="inlineStr">
        <is>
          <t>+ Strategic capital management fees</t>
        </is>
      </c>
      <c r="B81" s="6" t="n">
        <v>29</v>
      </c>
      <c r="C81" s="6" t="n">
        <v>29</v>
      </c>
      <c r="D81" s="6" t="n">
        <v>32</v>
      </c>
      <c r="E81" s="6" t="n">
        <v>35</v>
      </c>
      <c r="F81" s="6" t="n">
        <v>35</v>
      </c>
      <c r="G81" s="6" t="n">
        <v>36</v>
      </c>
      <c r="H81" s="7" t="n"/>
    </row>
    <row r="82">
      <c r="A82" s="5" t="inlineStr">
        <is>
          <t>− Cost of funds (what the float costs)</t>
        </is>
      </c>
      <c r="B82" s="6" t="n">
        <v>-2116</v>
      </c>
      <c r="C82" s="6" t="n">
        <v>-2210</v>
      </c>
      <c r="D82" s="6" t="n">
        <v>-2470</v>
      </c>
      <c r="E82" s="6" t="n">
        <v>-2661</v>
      </c>
      <c r="F82" s="6" t="n">
        <v>-2742</v>
      </c>
      <c r="G82" s="6" t="n">
        <v>-2807</v>
      </c>
      <c r="H82" s="7" t="n"/>
    </row>
    <row r="83">
      <c r="A83" s="8" t="inlineStr">
        <is>
          <t>= NET INVESTMENT SPREAD</t>
        </is>
      </c>
      <c r="B83" s="9">
        <f>SUM(B80:B82)</f>
        <v/>
      </c>
      <c r="C83" s="9">
        <f>SUM(C80:C82)</f>
        <v/>
      </c>
      <c r="D83" s="9">
        <f>SUM(D80:D82)</f>
        <v/>
      </c>
      <c r="E83" s="9">
        <f>SUM(E80:E82)</f>
        <v/>
      </c>
      <c r="F83" s="9">
        <f>SUM(F80:F82)</f>
        <v/>
      </c>
      <c r="G83" s="9">
        <f>SUM(G80:G82)</f>
        <v/>
      </c>
    </row>
    <row r="84">
      <c r="A84" s="5" t="inlineStr">
        <is>
          <t xml:space="preserve">   reported (filed)</t>
        </is>
      </c>
      <c r="B84" s="6" t="n">
        <v>1096</v>
      </c>
      <c r="C84" s="6" t="n">
        <v>1050</v>
      </c>
      <c r="D84" s="6" t="n">
        <v>1061</v>
      </c>
      <c r="E84" s="6" t="n">
        <v>1120</v>
      </c>
      <c r="F84" s="6" t="n">
        <v>1142</v>
      </c>
      <c r="G84" s="6" t="n">
        <v>990</v>
      </c>
      <c r="H84" s="7" t="n"/>
    </row>
    <row r="85">
      <c r="A85" s="2" t="inlineStr">
        <is>
          <t xml:space="preserve">   check</t>
        </is>
      </c>
      <c r="B85" s="2">
        <f>IF(B83=B84,"OK","FAIL")</f>
        <v/>
      </c>
      <c r="C85" s="2">
        <f>IF(C83=C84,"OK","FAIL")</f>
        <v/>
      </c>
      <c r="D85" s="2">
        <f>IF(D83=D84,"OK","FAIL")</f>
        <v/>
      </c>
      <c r="E85" s="2">
        <f>IF(E83=E84,"OK","FAIL")</f>
        <v/>
      </c>
      <c r="F85" s="2">
        <f>IF(F83=F84,"OK","FAIL")</f>
        <v/>
      </c>
      <c r="G85" s="2">
        <f>IF(G83=G84,"OK","FAIL")</f>
        <v/>
      </c>
    </row>
    <row r="86">
      <c r="A86" s="5" t="inlineStr">
        <is>
          <t>− Other operating expenses</t>
        </is>
      </c>
      <c r="B86" s="6" t="n">
        <v>-121</v>
      </c>
      <c r="C86" s="6" t="n">
        <v>-116</v>
      </c>
      <c r="D86" s="6" t="n">
        <v>-109</v>
      </c>
      <c r="E86" s="6" t="n">
        <v>-108</v>
      </c>
      <c r="F86" s="6" t="n">
        <v>-119</v>
      </c>
      <c r="G86" s="6" t="n">
        <v>-118</v>
      </c>
      <c r="H86" s="7" t="n"/>
    </row>
    <row r="87">
      <c r="A87" s="5" t="inlineStr">
        <is>
          <t>− Interest &amp; other financing costs</t>
        </is>
      </c>
      <c r="B87" s="6" t="n">
        <v>-137</v>
      </c>
      <c r="C87" s="6" t="n">
        <v>-130</v>
      </c>
      <c r="D87" s="6" t="n">
        <v>-132</v>
      </c>
      <c r="E87" s="6" t="n">
        <v>-140</v>
      </c>
      <c r="F87" s="6" t="n">
        <v>-158</v>
      </c>
      <c r="G87" s="6" t="n">
        <v>-153</v>
      </c>
      <c r="H87" s="7" t="n"/>
    </row>
    <row r="88">
      <c r="A88" s="8" t="inlineStr">
        <is>
          <t>= SPREAD RELATED EARNINGS</t>
        </is>
      </c>
      <c r="B88" s="9">
        <f>B83+B86+B87</f>
        <v/>
      </c>
      <c r="C88" s="9">
        <f>C83+C86+C87</f>
        <v/>
      </c>
      <c r="D88" s="9">
        <f>D83+D86+D87</f>
        <v/>
      </c>
      <c r="E88" s="9">
        <f>E83+E86+E87</f>
        <v/>
      </c>
      <c r="F88" s="9">
        <f>F83+F86+F87</f>
        <v/>
      </c>
      <c r="G88" s="9">
        <f>G83+G86+G87</f>
        <v/>
      </c>
    </row>
    <row r="89">
      <c r="A89" s="5" t="inlineStr">
        <is>
          <t xml:space="preserve">   reported (filed)</t>
        </is>
      </c>
      <c r="B89" s="6" t="n">
        <v>838</v>
      </c>
      <c r="C89" s="6" t="n">
        <v>804</v>
      </c>
      <c r="D89" s="6" t="n">
        <v>820</v>
      </c>
      <c r="E89" s="6" t="n">
        <v>872</v>
      </c>
      <c r="F89" s="6" t="n">
        <v>865</v>
      </c>
      <c r="G89" s="6" t="n">
        <v>719</v>
      </c>
      <c r="H89" s="7" t="n"/>
    </row>
    <row r="90">
      <c r="A90" s="2" t="inlineStr">
        <is>
          <t xml:space="preserve">   check</t>
        </is>
      </c>
      <c r="B90" s="2">
        <f>IF(B88=B89,"OK","FAIL")</f>
        <v/>
      </c>
      <c r="C90" s="2">
        <f>IF(C88=C89,"OK","FAIL")</f>
        <v/>
      </c>
      <c r="D90" s="2">
        <f>IF(D88=D89,"OK","FAIL")</f>
        <v/>
      </c>
      <c r="E90" s="2">
        <f>IF(E88=E89,"OK","FAIL")</f>
        <v/>
      </c>
      <c r="F90" s="2">
        <f>IF(F88=F89,"OK","FAIL")</f>
        <v/>
      </c>
      <c r="G90" s="2">
        <f>IF(G88=G89,"OK","FAIL")</f>
        <v/>
      </c>
    </row>
    <row r="92">
      <c r="A92" s="1" t="inlineStr">
        <is>
          <t>THE RATES (annualized, as filed)</t>
        </is>
      </c>
    </row>
    <row r="93">
      <c r="A93" s="5" t="inlineStr">
        <is>
          <t>Earned — fixed income &amp; other</t>
        </is>
      </c>
      <c r="B93" s="10" t="n">
        <v>0.05</v>
      </c>
      <c r="C93" s="10" t="n">
        <v>0.048</v>
      </c>
      <c r="D93" s="10" t="n">
        <v>0.04969999999999999</v>
      </c>
      <c r="E93" s="10" t="n">
        <v>0.0512</v>
      </c>
      <c r="F93" s="10" t="n">
        <v>0.0508</v>
      </c>
      <c r="G93" s="10" t="n">
        <v>0.0504</v>
      </c>
      <c r="H93" s="7" t="n"/>
    </row>
    <row r="94">
      <c r="A94" s="5" t="inlineStr">
        <is>
          <t>Earned — alternatives</t>
        </is>
      </c>
      <c r="B94" s="10" t="n">
        <v>0.0925</v>
      </c>
      <c r="C94" s="10" t="n">
        <v>0.1008</v>
      </c>
      <c r="D94" s="10" t="n">
        <v>0.09859999999999999</v>
      </c>
      <c r="E94" s="10" t="n">
        <v>0.09880000000000001</v>
      </c>
      <c r="F94" s="10" t="n">
        <v>0.1019</v>
      </c>
      <c r="G94" s="10" t="n">
        <v>0.0579</v>
      </c>
      <c r="H94" s="7" t="n"/>
    </row>
    <row r="95">
      <c r="A95" s="5" t="inlineStr">
        <is>
          <t>Earned — total</t>
        </is>
      </c>
      <c r="B95" s="10" t="n">
        <v>0.052</v>
      </c>
      <c r="C95" s="10" t="n">
        <v>0.0506</v>
      </c>
      <c r="D95" s="10" t="n">
        <v>0.0521</v>
      </c>
      <c r="E95" s="10" t="n">
        <v>0.0534</v>
      </c>
      <c r="F95" s="10" t="n">
        <v>0.0532</v>
      </c>
      <c r="G95" s="10" t="n">
        <v>0.0508</v>
      </c>
      <c r="H95" s="7" t="n"/>
    </row>
    <row r="96">
      <c r="A96" s="5" t="inlineStr">
        <is>
          <t>Cost of funds</t>
        </is>
      </c>
      <c r="B96" s="10" t="n">
        <v>-0.0346</v>
      </c>
      <c r="C96" s="10" t="n">
        <v>-0.0346</v>
      </c>
      <c r="D96" s="10" t="n">
        <v>-0.0368</v>
      </c>
      <c r="E96" s="10" t="n">
        <v>-0.0379</v>
      </c>
      <c r="F96" s="10" t="n">
        <v>-0.0379</v>
      </c>
      <c r="G96" s="10" t="n">
        <v>-0.0379</v>
      </c>
      <c r="H96" s="7" t="n"/>
    </row>
    <row r="97">
      <c r="A97" s="5" t="inlineStr">
        <is>
          <t>NET INVESTMENT SPREAD %</t>
        </is>
      </c>
      <c r="B97" s="10" t="n">
        <v>0.0179</v>
      </c>
      <c r="C97" s="10" t="n">
        <v>0.0165</v>
      </c>
      <c r="D97" s="10" t="n">
        <v>0.0158</v>
      </c>
      <c r="E97" s="10" t="n">
        <v>0.016</v>
      </c>
      <c r="F97" s="10" t="n">
        <v>0.0158</v>
      </c>
      <c r="G97" s="10" t="n">
        <v>0.0134</v>
      </c>
      <c r="H97" s="7" t="n"/>
    </row>
    <row r="98">
      <c r="A98" s="5" t="inlineStr">
        <is>
          <t>SRE margin %</t>
        </is>
      </c>
      <c r="B98" s="10" t="n">
        <v>0.0137</v>
      </c>
      <c r="C98" s="10" t="n">
        <v>0.0126</v>
      </c>
      <c r="D98" s="10" t="n">
        <v>0.0122</v>
      </c>
      <c r="E98" s="10" t="n">
        <v>0.0124</v>
      </c>
      <c r="F98" s="10" t="n">
        <v>0.012</v>
      </c>
      <c r="G98" s="10" t="n">
        <v>0.0097</v>
      </c>
      <c r="H98" s="7" t="n"/>
    </row>
    <row r="100">
      <c r="A100" s="1" t="inlineStr">
        <is>
          <t>THE DENOMINATOR &amp; DERIVED</t>
        </is>
      </c>
    </row>
    <row r="101">
      <c r="A101" s="5" t="inlineStr">
        <is>
          <t>Average net invested assets — fixed income</t>
        </is>
      </c>
      <c r="B101" s="6" t="n">
        <v>233153</v>
      </c>
      <c r="C101" s="6" t="n">
        <v>242999</v>
      </c>
      <c r="D101" s="6" t="n">
        <v>255789</v>
      </c>
      <c r="E101" s="6" t="n">
        <v>267607</v>
      </c>
      <c r="F101" s="6" t="n">
        <v>275769</v>
      </c>
      <c r="G101" s="6" t="n">
        <v>281872</v>
      </c>
      <c r="H101" s="7" t="n"/>
    </row>
    <row r="102">
      <c r="A102" s="5" t="inlineStr">
        <is>
          <t>Average net invested assets — alternatives</t>
        </is>
      </c>
      <c r="B102" s="6" t="n">
        <v>11643</v>
      </c>
      <c r="C102" s="6" t="n">
        <v>12506</v>
      </c>
      <c r="D102" s="6" t="n">
        <v>12914</v>
      </c>
      <c r="E102" s="6" t="n">
        <v>13000</v>
      </c>
      <c r="F102" s="6" t="n">
        <v>13526</v>
      </c>
      <c r="G102" s="6" t="n">
        <v>14480</v>
      </c>
      <c r="H102" s="7" t="n"/>
    </row>
    <row r="103">
      <c r="A103" s="8" t="inlineStr">
        <is>
          <t>= Average net invested assets</t>
        </is>
      </c>
      <c r="B103" s="9">
        <f>B101+B102</f>
        <v/>
      </c>
      <c r="C103" s="9">
        <f>C101+C102</f>
        <v/>
      </c>
      <c r="D103" s="9">
        <f>D101+D102</f>
        <v/>
      </c>
      <c r="E103" s="9">
        <f>E101+E102</f>
        <v/>
      </c>
      <c r="F103" s="9">
        <f>F101+F102</f>
        <v/>
      </c>
      <c r="G103" s="9">
        <f>G101+G102</f>
        <v/>
      </c>
    </row>
    <row r="104">
      <c r="A104" s="8" t="inlineStr">
        <is>
          <t>Derived NIS % (spread ×4 ÷ avg assets)</t>
        </is>
      </c>
      <c r="B104" s="11">
        <f>IF(B103=0,"",B83*4/B103)</f>
        <v/>
      </c>
      <c r="C104" s="11">
        <f>IF(C103=0,"",C83*4/C103)</f>
        <v/>
      </c>
      <c r="D104" s="11">
        <f>IF(D103=0,"",D83*4/D103)</f>
        <v/>
      </c>
      <c r="E104" s="11">
        <f>IF(E103=0,"",E83*4/E103)</f>
        <v/>
      </c>
      <c r="F104" s="11">
        <f>IF(F103=0,"",F83*4/F103)</f>
        <v/>
      </c>
      <c r="G104" s="11">
        <f>IF(G103=0,"",G83*4/G103)</f>
        <v/>
      </c>
    </row>
    <row r="105">
      <c r="A105" s="2" t="inlineStr">
        <is>
          <t xml:space="preserve">   check vs filed NIS % (±5bp rounding)</t>
        </is>
      </c>
      <c r="B105" s="2">
        <f>IF(ABS(B104-B97)&lt;0.0005,"OK","FAIL")</f>
        <v/>
      </c>
      <c r="C105" s="2">
        <f>IF(ABS(C104-C97)&lt;0.0005,"OK","FAIL")</f>
        <v/>
      </c>
      <c r="D105" s="2">
        <f>IF(ABS(D104-D97)&lt;0.0005,"OK","FAIL")</f>
        <v/>
      </c>
      <c r="E105" s="2">
        <f>IF(ABS(E104-E97)&lt;0.0005,"OK","FAIL")</f>
        <v/>
      </c>
      <c r="F105" s="2">
        <f>IF(ABS(F104-F97)&lt;0.0005,"OK","FAIL")</f>
        <v/>
      </c>
      <c r="G105" s="2">
        <f>IF(ABS(G104-G97)&lt;0.0005,"OK","FAIL")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LIVE CHECKS — this cell must read 0</t>
        </is>
      </c>
    </row>
    <row r="3">
      <c r="A3" s="12" t="inlineStr">
        <is>
          <t>Number of failing identity checks on Engine:</t>
        </is>
      </c>
      <c r="B3" s="8">
        <f>COUNTIF(Engine!B15,"FAIL")+COUNTIF(Engine!C15,"FAIL")+COUNTIF(Engine!D15,"FAIL")+COUNTIF(Engine!E15,"FAIL")+COUNTIF(Engine!F15,"FAIL")+COUNTIF(Engine!G15,"FAIL")+COUNTIF(Engine!B22,"FAIL")+COUNTIF(Engine!C22,"FAIL")+COUNTIF(Engine!D22,"FAIL")+COUNTIF(Engine!E22,"FAIL")+COUNTIF(Engine!F22,"FAIL")+COUNTIF(Engine!G22,"FAIL")+COUNTIF(Engine!B29,"FAIL")+COUNTIF(Engine!C29,"FAIL")+COUNTIF(Engine!D29,"FAIL")+COUNTIF(Engine!E29,"FAIL")+COUNTIF(Engine!F29,"FAIL")+COUNTIF(Engine!G29,"FAIL")+COUNTIF(Engine!B36,"FAIL")+COUNTIF(Engine!C36,"FAIL")+COUNTIF(Engine!D36,"FAIL")+COUNTIF(Engine!E36,"FAIL")+COUNTIF(Engine!F36,"FAIL")+COUNTIF(Engine!G36,"FAIL")+COUNTIF(Engine!B37,"FAIL")+COUNTIF(Engine!C37,"FAIL")+COUNTIF(Engine!D37,"FAIL")+COUNTIF(Engine!E37,"FAIL")+COUNTIF(Engine!F37,"FAIL")+COUNTIF(Engine!G37,"FAIL")+COUNTIF(Engine!B42,"FAIL")+COUNTIF(Engine!C42,"FAIL")+COUNTIF(Engine!D42,"FAIL")+COUNTIF(Engine!E42,"FAIL")+COUNTIF(Engine!F42,"FAIL")+COUNTIF(Engine!G42,"FAIL")+COUNTIF(Engine!B52,"FAIL")+COUNTIF(Engine!C52,"FAIL")+COUNTIF(Engine!D52,"FAIL")+COUNTIF(Engine!E52,"FAIL")+COUNTIF(Engine!F52,"FAIL")+COUNTIF(Engine!G52,"FAIL")+COUNTIF(Engine!C53,"FAIL")+COUNTIF(Engine!D53,"FAIL")+COUNTIF(Engine!E53,"FAIL")+COUNTIF(Engine!F53,"FAIL")+COUNTIF(Engine!G53,"FAIL")+COUNTIF(Engine!B63,"FAIL")+COUNTIF(Engine!C63,"FAIL")+COUNTIF(Engine!D63,"FAIL")+COUNTIF(Engine!E63,"FAIL")+COUNTIF(Engine!F63,"FAIL")+COUNTIF(Engine!G63,"FAIL")+COUNTIF(Engine!B75,"FAIL")+COUNTIF(Engine!C75,"FAIL")+COUNTIF(Engine!D75,"FAIL")+COUNTIF(Engine!E75,"FAIL")+COUNTIF(Engine!F75,"FAIL")+COUNTIF(Engine!G75,"FAIL")+COUNTIF(Engine!B85,"FAIL")+COUNTIF(Engine!C85,"FAIL")+COUNTIF(Engine!D85,"FAIL")+COUNTIF(Engine!E85,"FAIL")+COUNTIF(Engine!F85,"FAIL")+COUNTIF(Engine!G85,"FAIL")+COUNTIF(Engine!B90,"FAIL")+COUNTIF(Engine!C90,"FAIL")+COUNTIF(Engine!D90,"FAIL")+COUNTIF(Engine!E90,"FAIL")+COUNTIF(Engine!F90,"FAIL")+COUNTIF(Engine!G90,"FAIL")+COUNTIF(Engine!B105,"FAIL")+COUNTIF(Engine!C105,"FAIL")+COUNTIF(Engine!D105,"FAIL")+COUNTIF(Engine!E105,"FAIL")+COUNTIF(Engine!F105,"FAIL")+COUNTIF(Engine!G105,"FAIL")</f>
        <v/>
      </c>
    </row>
    <row r="5">
      <c r="A5" s="2" t="inlineStr">
        <is>
          <t>Checks watched: 77 cells (totals cross-cuts, rollforward identities, continuity, SRE chain, derived spread).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85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8" t="inlineStr">
        <is>
          <t>quarter</t>
        </is>
      </c>
      <c r="B1" s="8" t="inlineStr">
        <is>
          <t>metric</t>
        </is>
      </c>
      <c r="C1" s="8" t="inlineStr">
        <is>
          <t>value</t>
        </is>
      </c>
    </row>
    <row r="2">
      <c r="A2" s="12" t="inlineStr">
        <is>
          <t>1Q25</t>
        </is>
      </c>
      <c r="B2" s="12" t="inlineStr">
        <is>
          <t>acra_begin</t>
        </is>
      </c>
      <c r="C2" s="12" t="n">
        <v>72164</v>
      </c>
    </row>
    <row r="3">
      <c r="A3" s="12" t="inlineStr">
        <is>
          <t>1Q25</t>
        </is>
      </c>
      <c r="B3" s="12" t="inlineStr">
        <is>
          <t>acra_end</t>
        </is>
      </c>
      <c r="C3" s="12" t="n">
        <v>76842</v>
      </c>
    </row>
    <row r="4">
      <c r="A4" s="12" t="inlineStr">
        <is>
          <t>1Q25</t>
        </is>
      </c>
      <c r="B4" s="12" t="inlineStr">
        <is>
          <t>acra_inflows</t>
        </is>
      </c>
      <c r="C4" s="12" t="n">
        <v>5011</v>
      </c>
    </row>
    <row r="5">
      <c r="A5" s="12" t="inlineStr">
        <is>
          <t>1Q25</t>
        </is>
      </c>
      <c r="B5" s="12" t="inlineStr">
        <is>
          <t>acra_other</t>
        </is>
      </c>
      <c r="C5" s="12" t="n">
        <v>1042</v>
      </c>
    </row>
    <row r="6">
      <c r="A6" s="12" t="inlineStr">
        <is>
          <t>1Q25</t>
        </is>
      </c>
      <c r="B6" s="12" t="inlineStr">
        <is>
          <t>acra_own</t>
        </is>
      </c>
      <c r="C6" s="12" t="n">
        <v>0</v>
      </c>
    </row>
    <row r="7">
      <c r="A7" s="12" t="inlineStr">
        <is>
          <t>1Q25</t>
        </is>
      </c>
      <c r="B7" s="12" t="inlineStr">
        <is>
          <t>acra_withdrawals</t>
        </is>
      </c>
      <c r="C7" s="12" t="n">
        <v>-1375</v>
      </c>
    </row>
    <row r="8">
      <c r="A8" s="12" t="inlineStr">
        <is>
          <t>1Q25</t>
        </is>
      </c>
      <c r="B8" s="12" t="inlineStr">
        <is>
          <t>avg_nia</t>
        </is>
      </c>
      <c r="C8" s="12" t="n">
        <v>255505</v>
      </c>
    </row>
    <row r="9">
      <c r="A9" s="12" t="inlineStr">
        <is>
          <t>1Q25</t>
        </is>
      </c>
      <c r="B9" s="12" t="inlineStr">
        <is>
          <t>avg_nia_alt</t>
        </is>
      </c>
      <c r="C9" s="12" t="n">
        <v>12506</v>
      </c>
    </row>
    <row r="10">
      <c r="A10" s="12" t="inlineStr">
        <is>
          <t>1Q25</t>
        </is>
      </c>
      <c r="B10" s="12" t="inlineStr">
        <is>
          <t>avg_nia_fi</t>
        </is>
      </c>
      <c r="C10" s="12" t="n">
        <v>242999</v>
      </c>
    </row>
    <row r="11">
      <c r="A11" s="12" t="inlineStr">
        <is>
          <t>1Q25</t>
        </is>
      </c>
      <c r="B11" s="12" t="inlineStr">
        <is>
          <t>core_outflows</t>
        </is>
      </c>
      <c r="C11" s="12" t="n">
        <v>-7017</v>
      </c>
    </row>
    <row r="12">
      <c r="A12" s="12" t="inlineStr">
        <is>
          <t>1Q25</t>
        </is>
      </c>
      <c r="B12" s="12" t="inlineStr">
        <is>
          <t>flow_reins</t>
        </is>
      </c>
      <c r="C12" s="12" t="n">
        <v>4933</v>
      </c>
    </row>
    <row r="13">
      <c r="A13" s="12" t="inlineStr">
        <is>
          <t>1Q25</t>
        </is>
      </c>
      <c r="B13" s="12" t="inlineStr">
        <is>
          <t>funding_agreements</t>
        </is>
      </c>
      <c r="C13" s="12" t="n">
        <v>11144</v>
      </c>
    </row>
    <row r="14">
      <c r="A14" s="12" t="inlineStr">
        <is>
          <t>1Q25</t>
        </is>
      </c>
      <c r="B14" s="12" t="inlineStr">
        <is>
          <t>gross_inorganic</t>
        </is>
      </c>
      <c r="C14" s="12" t="n">
        <v>0</v>
      </c>
    </row>
    <row r="15">
      <c r="A15" s="12" t="inlineStr">
        <is>
          <t>1Q25</t>
        </is>
      </c>
      <c r="B15" s="12" t="inlineStr">
        <is>
          <t>gross_organic</t>
        </is>
      </c>
      <c r="C15" s="12" t="n">
        <v>25563</v>
      </c>
    </row>
    <row r="16">
      <c r="A16" s="12" t="inlineStr">
        <is>
          <t>1Q25</t>
        </is>
      </c>
      <c r="B16" s="12" t="inlineStr">
        <is>
          <t>gross_outflows</t>
        </is>
      </c>
      <c r="C16" s="12" t="n">
        <v>-8392</v>
      </c>
    </row>
    <row r="17">
      <c r="A17" s="12" t="inlineStr">
        <is>
          <t>1Q25</t>
        </is>
      </c>
      <c r="B17" s="12" t="inlineStr">
        <is>
          <t>inflows_adip</t>
        </is>
      </c>
      <c r="C17" s="12" t="n">
        <v>4956</v>
      </c>
    </row>
    <row r="18">
      <c r="A18" s="12" t="inlineStr">
        <is>
          <t>1Q25</t>
        </is>
      </c>
      <c r="B18" s="12" t="inlineStr">
        <is>
          <t>inflows_athene</t>
        </is>
      </c>
      <c r="C18" s="12" t="n">
        <v>20118</v>
      </c>
    </row>
    <row r="19">
      <c r="A19" s="12" t="inlineStr">
        <is>
          <t>1Q25</t>
        </is>
      </c>
      <c r="B19" s="12" t="inlineStr">
        <is>
          <t>inflows_ceded_3p</t>
        </is>
      </c>
      <c r="C19" s="12" t="n">
        <v>489</v>
      </c>
    </row>
    <row r="20">
      <c r="A20" s="12" t="inlineStr">
        <is>
          <t>1Q25</t>
        </is>
      </c>
      <c r="B20" s="12" t="inlineStr">
        <is>
          <t>net_flows</t>
        </is>
      </c>
      <c r="C20" s="12" t="n">
        <v>17171</v>
      </c>
    </row>
    <row r="21">
      <c r="A21" s="12" t="inlineStr">
        <is>
          <t>1Q25</t>
        </is>
      </c>
      <c r="B21" s="12" t="inlineStr">
        <is>
          <t>nrl_begin</t>
        </is>
      </c>
      <c r="C21" s="12" t="n">
        <v>225926</v>
      </c>
    </row>
    <row r="22">
      <c r="A22" s="12" t="inlineStr">
        <is>
          <t>1Q25</t>
        </is>
      </c>
      <c r="B22" s="12" t="inlineStr">
        <is>
          <t>nrl_end</t>
        </is>
      </c>
      <c r="C22" s="12" t="n">
        <v>241666</v>
      </c>
    </row>
    <row r="23">
      <c r="A23" s="12" t="inlineStr">
        <is>
          <t>1Q25</t>
        </is>
      </c>
      <c r="B23" s="12" t="inlineStr">
        <is>
          <t>other_spread</t>
        </is>
      </c>
      <c r="C23" s="12" t="n">
        <v>0</v>
      </c>
    </row>
    <row r="24">
      <c r="A24" s="12" t="inlineStr">
        <is>
          <t>1Q25</t>
        </is>
      </c>
      <c r="B24" s="12" t="inlineStr">
        <is>
          <t>outflow_income_planned</t>
        </is>
      </c>
      <c r="C24" s="12" t="n">
        <v>-1680</v>
      </c>
    </row>
    <row r="25">
      <c r="A25" s="12" t="inlineStr">
        <is>
          <t>1Q25</t>
        </is>
      </c>
      <c r="B25" s="12" t="inlineStr">
        <is>
          <t>outflow_isc_unplanned</t>
        </is>
      </c>
      <c r="C25" s="12" t="n">
        <v>-744</v>
      </c>
    </row>
    <row r="26">
      <c r="A26" s="12" t="inlineStr">
        <is>
          <t>1Q25</t>
        </is>
      </c>
      <c r="B26" s="12" t="inlineStr">
        <is>
          <t>outflow_maturity_driven</t>
        </is>
      </c>
      <c r="C26" s="12" t="n">
        <v>-3535</v>
      </c>
    </row>
    <row r="27">
      <c r="A27" s="12" t="inlineStr">
        <is>
          <t>1Q25</t>
        </is>
      </c>
      <c r="B27" s="12" t="inlineStr">
        <is>
          <t>outflow_oosc_planned</t>
        </is>
      </c>
      <c r="C27" s="12" t="n">
        <v>-1058</v>
      </c>
    </row>
    <row r="28">
      <c r="A28" s="12" t="inlineStr">
        <is>
          <t>1Q25</t>
        </is>
      </c>
      <c r="B28" s="12" t="inlineStr">
        <is>
          <t>outflow_policyholder</t>
        </is>
      </c>
      <c r="C28" s="12" t="n">
        <v>-3482</v>
      </c>
    </row>
    <row r="29">
      <c r="A29" s="12" t="inlineStr">
        <is>
          <t>1Q25</t>
        </is>
      </c>
      <c r="B29" s="12" t="inlineStr">
        <is>
          <t>outflows_adip</t>
        </is>
      </c>
      <c r="C29" s="12" t="n">
        <v>-1375</v>
      </c>
    </row>
    <row r="30">
      <c r="A30" s="12" t="inlineStr">
        <is>
          <t>1Q25</t>
        </is>
      </c>
      <c r="B30" s="12" t="inlineStr">
        <is>
          <t>outflows_athene</t>
        </is>
      </c>
      <c r="C30" s="12" t="n">
        <v>-7017</v>
      </c>
    </row>
    <row r="31">
      <c r="A31" s="12" t="inlineStr">
        <is>
          <t>1Q25</t>
        </is>
      </c>
      <c r="B31" s="12" t="inlineStr">
        <is>
          <t>pga</t>
        </is>
      </c>
      <c r="C31" s="12" t="n">
        <v>4</v>
      </c>
    </row>
    <row r="32">
      <c r="A32" s="12" t="inlineStr">
        <is>
          <t>1Q25</t>
        </is>
      </c>
      <c r="B32" s="12" t="inlineStr">
        <is>
          <t>retail</t>
        </is>
      </c>
      <c r="C32" s="12" t="n">
        <v>9482</v>
      </c>
    </row>
    <row r="33">
      <c r="A33" s="12" t="inlineStr">
        <is>
          <t>1Q25</t>
        </is>
      </c>
      <c r="B33" s="12" t="inlineStr">
        <is>
          <t>roll_acra_nci</t>
        </is>
      </c>
      <c r="C33" s="12" t="n">
        <v>-5011</v>
      </c>
    </row>
    <row r="34">
      <c r="A34" s="12" t="inlineStr">
        <is>
          <t>1Q25</t>
        </is>
      </c>
      <c r="B34" s="12" t="inlineStr">
        <is>
          <t>roll_acra_own</t>
        </is>
      </c>
      <c r="C34" s="12" t="n">
        <v>0</v>
      </c>
    </row>
    <row r="35">
      <c r="A35" s="12" t="inlineStr">
        <is>
          <t>1Q25</t>
        </is>
      </c>
      <c r="B35" s="12" t="inlineStr">
        <is>
          <t>roll_block</t>
        </is>
      </c>
      <c r="C35" s="12" t="n">
        <v>0</v>
      </c>
    </row>
    <row r="36">
      <c r="A36" s="12" t="inlineStr">
        <is>
          <t>1Q25</t>
        </is>
      </c>
      <c r="B36" s="12" t="inlineStr">
        <is>
          <t>roll_ceded_3p</t>
        </is>
      </c>
      <c r="C36" s="12" t="n">
        <v>-496</v>
      </c>
    </row>
    <row r="37">
      <c r="A37" s="12" t="inlineStr">
        <is>
          <t>1Q25</t>
        </is>
      </c>
      <c r="B37" s="12" t="inlineStr">
        <is>
          <t>roll_gross_inflows</t>
        </is>
      </c>
      <c r="C37" s="12" t="n">
        <v>25830</v>
      </c>
    </row>
    <row r="38">
      <c r="A38" s="12" t="inlineStr">
        <is>
          <t>1Q25</t>
        </is>
      </c>
      <c r="B38" s="12" t="inlineStr">
        <is>
          <t>roll_net_inflows</t>
        </is>
      </c>
      <c r="C38" s="12" t="n">
        <v>20323</v>
      </c>
    </row>
    <row r="39">
      <c r="A39" s="12" t="inlineStr">
        <is>
          <t>1Q25</t>
        </is>
      </c>
      <c r="B39" s="12" t="inlineStr">
        <is>
          <t>roll_net_withdrawals</t>
        </is>
      </c>
      <c r="C39" s="12" t="n">
        <v>-7017</v>
      </c>
    </row>
    <row r="40">
      <c r="A40" s="12" t="inlineStr">
        <is>
          <t>1Q25</t>
        </is>
      </c>
      <c r="B40" s="12" t="inlineStr">
        <is>
          <t>roll_other</t>
        </is>
      </c>
      <c r="C40" s="12" t="n">
        <v>2434</v>
      </c>
    </row>
    <row r="41">
      <c r="A41" s="12" t="inlineStr">
        <is>
          <t>1Q25</t>
        </is>
      </c>
      <c r="B41" s="12" t="inlineStr">
        <is>
          <t>sre</t>
        </is>
      </c>
      <c r="C41" s="12" t="n">
        <v>804</v>
      </c>
    </row>
    <row r="42">
      <c r="A42" s="12" t="inlineStr">
        <is>
          <t>1Q25</t>
        </is>
      </c>
      <c r="B42" s="12" t="inlineStr">
        <is>
          <t>sre_alt_nii</t>
        </is>
      </c>
      <c r="C42" s="12" t="n">
        <v>315</v>
      </c>
    </row>
    <row r="43">
      <c r="A43" s="12" t="inlineStr">
        <is>
          <t>1Q25</t>
        </is>
      </c>
      <c r="B43" s="12" t="inlineStr">
        <is>
          <t>sre_alt_nii_pct</t>
        </is>
      </c>
      <c r="C43" s="12" t="n">
        <v>10.08</v>
      </c>
    </row>
    <row r="44">
      <c r="A44" s="12" t="inlineStr">
        <is>
          <t>1Q25</t>
        </is>
      </c>
      <c r="B44" s="12" t="inlineStr">
        <is>
          <t>sre_cof</t>
        </is>
      </c>
      <c r="C44" s="12" t="n">
        <v>-2210</v>
      </c>
    </row>
    <row r="45">
      <c r="A45" s="12" t="inlineStr">
        <is>
          <t>1Q25</t>
        </is>
      </c>
      <c r="B45" s="12" t="inlineStr">
        <is>
          <t>sre_cof_pct</t>
        </is>
      </c>
      <c r="C45" s="12" t="n">
        <v>-3.46</v>
      </c>
    </row>
    <row r="46">
      <c r="A46" s="12" t="inlineStr">
        <is>
          <t>1Q25</t>
        </is>
      </c>
      <c r="B46" s="12" t="inlineStr">
        <is>
          <t>sre_fees</t>
        </is>
      </c>
      <c r="C46" s="12" t="n">
        <v>29</v>
      </c>
    </row>
    <row r="47">
      <c r="A47" s="12" t="inlineStr">
        <is>
          <t>1Q25</t>
        </is>
      </c>
      <c r="B47" s="12" t="inlineStr">
        <is>
          <t>sre_fees_pct</t>
        </is>
      </c>
      <c r="C47" s="12" t="n">
        <v>0.05</v>
      </c>
    </row>
    <row r="48">
      <c r="A48" s="12" t="inlineStr">
        <is>
          <t>1Q25</t>
        </is>
      </c>
      <c r="B48" s="12" t="inlineStr">
        <is>
          <t>sre_fi_nii</t>
        </is>
      </c>
      <c r="C48" s="12" t="n">
        <v>2916</v>
      </c>
    </row>
    <row r="49">
      <c r="A49" s="12" t="inlineStr">
        <is>
          <t>1Q25</t>
        </is>
      </c>
      <c r="B49" s="12" t="inlineStr">
        <is>
          <t>sre_fi_nii_pct</t>
        </is>
      </c>
      <c r="C49" s="12" t="n">
        <v>4.8</v>
      </c>
    </row>
    <row r="50">
      <c r="A50" s="12" t="inlineStr">
        <is>
          <t>1Q25</t>
        </is>
      </c>
      <c r="B50" s="12" t="inlineStr">
        <is>
          <t>sre_fin</t>
        </is>
      </c>
      <c r="C50" s="12" t="n">
        <v>-130</v>
      </c>
    </row>
    <row r="51">
      <c r="A51" s="12" t="inlineStr">
        <is>
          <t>1Q25</t>
        </is>
      </c>
      <c r="B51" s="12" t="inlineStr">
        <is>
          <t>sre_fin_pct</t>
        </is>
      </c>
      <c r="C51" s="12" t="n">
        <v>-0.21</v>
      </c>
    </row>
    <row r="52">
      <c r="A52" s="12" t="inlineStr">
        <is>
          <t>1Q25</t>
        </is>
      </c>
      <c r="B52" s="12" t="inlineStr">
        <is>
          <t>sre_nie</t>
        </is>
      </c>
      <c r="C52" s="12" t="n">
        <v>3231</v>
      </c>
    </row>
    <row r="53">
      <c r="A53" s="12" t="inlineStr">
        <is>
          <t>1Q25</t>
        </is>
      </c>
      <c r="B53" s="12" t="inlineStr">
        <is>
          <t>sre_nie_pct</t>
        </is>
      </c>
      <c r="C53" s="12" t="n">
        <v>5.06</v>
      </c>
    </row>
    <row r="54">
      <c r="A54" s="12" t="inlineStr">
        <is>
          <t>1Q25</t>
        </is>
      </c>
      <c r="B54" s="12" t="inlineStr">
        <is>
          <t>sre_nis</t>
        </is>
      </c>
      <c r="C54" s="12" t="n">
        <v>1050</v>
      </c>
    </row>
    <row r="55">
      <c r="A55" s="12" t="inlineStr">
        <is>
          <t>1Q25</t>
        </is>
      </c>
      <c r="B55" s="12" t="inlineStr">
        <is>
          <t>sre_nis_pct</t>
        </is>
      </c>
      <c r="C55" s="12" t="n">
        <v>1.65</v>
      </c>
    </row>
    <row r="56">
      <c r="A56" s="12" t="inlineStr">
        <is>
          <t>1Q25</t>
        </is>
      </c>
      <c r="B56" s="12" t="inlineStr">
        <is>
          <t>sre_opex</t>
        </is>
      </c>
      <c r="C56" s="12" t="n">
        <v>-116</v>
      </c>
    </row>
    <row r="57">
      <c r="A57" s="12" t="inlineStr">
        <is>
          <t>1Q25</t>
        </is>
      </c>
      <c r="B57" s="12" t="inlineStr">
        <is>
          <t>sre_opex_pct</t>
        </is>
      </c>
      <c r="C57" s="12" t="n">
        <v>-0.18</v>
      </c>
    </row>
    <row r="58">
      <c r="A58" s="12" t="inlineStr">
        <is>
          <t>1Q25</t>
        </is>
      </c>
      <c r="B58" s="12" t="inlineStr">
        <is>
          <t>sre_pct</t>
        </is>
      </c>
      <c r="C58" s="12" t="n">
        <v>1.26</v>
      </c>
    </row>
    <row r="59">
      <c r="A59" s="12" t="inlineStr">
        <is>
          <t>1Q25</t>
        </is>
      </c>
      <c r="B59" s="12" t="inlineStr">
        <is>
          <t>total_gross_inflows</t>
        </is>
      </c>
      <c r="C59" s="12" t="n">
        <v>25563</v>
      </c>
    </row>
    <row r="60">
      <c r="A60" s="12" t="inlineStr">
        <is>
          <t>1Q25</t>
        </is>
      </c>
      <c r="B60" s="12" t="inlineStr">
        <is>
          <t>total_gross_inflows_check</t>
        </is>
      </c>
      <c r="C60" s="12" t="n">
        <v>25563</v>
      </c>
    </row>
    <row r="61">
      <c r="A61" s="12" t="inlineStr">
        <is>
          <t>1Q25</t>
        </is>
      </c>
      <c r="B61" s="12" t="inlineStr">
        <is>
          <t>total_gross_outflows_check</t>
        </is>
      </c>
      <c r="C61" s="12" t="n">
        <v>-8392</v>
      </c>
    </row>
    <row r="62">
      <c r="A62" s="12" t="inlineStr">
        <is>
          <t>1Q26</t>
        </is>
      </c>
      <c r="B62" s="12" t="inlineStr">
        <is>
          <t>acra_begin</t>
        </is>
      </c>
      <c r="C62" s="12" t="n">
        <v>89725</v>
      </c>
    </row>
    <row r="63">
      <c r="A63" s="12" t="inlineStr">
        <is>
          <t>1Q26</t>
        </is>
      </c>
      <c r="B63" s="12" t="inlineStr">
        <is>
          <t>acra_end</t>
        </is>
      </c>
      <c r="C63" s="12" t="n">
        <v>91318</v>
      </c>
    </row>
    <row r="64">
      <c r="A64" s="12" t="inlineStr">
        <is>
          <t>1Q26</t>
        </is>
      </c>
      <c r="B64" s="12" t="inlineStr">
        <is>
          <t>acra_inflows</t>
        </is>
      </c>
      <c r="C64" s="12" t="n">
        <v>3470</v>
      </c>
    </row>
    <row r="65">
      <c r="A65" s="12" t="inlineStr">
        <is>
          <t>1Q26</t>
        </is>
      </c>
      <c r="B65" s="12" t="inlineStr">
        <is>
          <t>acra_other</t>
        </is>
      </c>
      <c r="C65" s="12" t="n">
        <v>279</v>
      </c>
    </row>
    <row r="66">
      <c r="A66" s="12" t="inlineStr">
        <is>
          <t>1Q26</t>
        </is>
      </c>
      <c r="B66" s="12" t="inlineStr">
        <is>
          <t>acra_own</t>
        </is>
      </c>
      <c r="C66" s="12" t="n">
        <v>0</v>
      </c>
    </row>
    <row r="67">
      <c r="A67" s="12" t="inlineStr">
        <is>
          <t>1Q26</t>
        </is>
      </c>
      <c r="B67" s="12" t="inlineStr">
        <is>
          <t>acra_withdrawals</t>
        </is>
      </c>
      <c r="C67" s="12" t="n">
        <v>-2156</v>
      </c>
    </row>
    <row r="68">
      <c r="A68" s="12" t="inlineStr">
        <is>
          <t>1Q26</t>
        </is>
      </c>
      <c r="B68" s="12" t="inlineStr">
        <is>
          <t>avg_nia</t>
        </is>
      </c>
      <c r="C68" s="12" t="n">
        <v>296352</v>
      </c>
    </row>
    <row r="69">
      <c r="A69" s="12" t="inlineStr">
        <is>
          <t>1Q26</t>
        </is>
      </c>
      <c r="B69" s="12" t="inlineStr">
        <is>
          <t>avg_nia_alt</t>
        </is>
      </c>
      <c r="C69" s="12" t="n">
        <v>14480</v>
      </c>
    </row>
    <row r="70">
      <c r="A70" s="12" t="inlineStr">
        <is>
          <t>1Q26</t>
        </is>
      </c>
      <c r="B70" s="12" t="inlineStr">
        <is>
          <t>avg_nia_fi</t>
        </is>
      </c>
      <c r="C70" s="12" t="n">
        <v>281872</v>
      </c>
    </row>
    <row r="71">
      <c r="A71" s="12" t="inlineStr">
        <is>
          <t>1Q26</t>
        </is>
      </c>
      <c r="B71" s="12" t="inlineStr">
        <is>
          <t>core_outflows</t>
        </is>
      </c>
      <c r="C71" s="12" t="n">
        <v>-8612</v>
      </c>
    </row>
    <row r="72">
      <c r="A72" s="12" t="inlineStr">
        <is>
          <t>1Q26</t>
        </is>
      </c>
      <c r="B72" s="12" t="inlineStr">
        <is>
          <t>flow_reins</t>
        </is>
      </c>
      <c r="C72" s="12" t="n">
        <v>2603</v>
      </c>
    </row>
    <row r="73">
      <c r="A73" s="12" t="inlineStr">
        <is>
          <t>1Q26</t>
        </is>
      </c>
      <c r="B73" s="12" t="inlineStr">
        <is>
          <t>funding_agreements</t>
        </is>
      </c>
      <c r="C73" s="12" t="n">
        <v>8531</v>
      </c>
    </row>
    <row r="74">
      <c r="A74" s="12" t="inlineStr">
        <is>
          <t>1Q26</t>
        </is>
      </c>
      <c r="B74" s="12" t="inlineStr">
        <is>
          <t>gross_inorganic</t>
        </is>
      </c>
      <c r="C74" s="12" t="n">
        <v>0</v>
      </c>
    </row>
    <row r="75">
      <c r="A75" s="12" t="inlineStr">
        <is>
          <t>1Q26</t>
        </is>
      </c>
      <c r="B75" s="12" t="inlineStr">
        <is>
          <t>gross_organic</t>
        </is>
      </c>
      <c r="C75" s="12" t="n">
        <v>19747</v>
      </c>
    </row>
    <row r="76">
      <c r="A76" s="12" t="inlineStr">
        <is>
          <t>1Q26</t>
        </is>
      </c>
      <c r="B76" s="12" t="inlineStr">
        <is>
          <t>gross_outflows</t>
        </is>
      </c>
      <c r="C76" s="12" t="n">
        <v>-10768</v>
      </c>
    </row>
    <row r="77">
      <c r="A77" s="12" t="inlineStr">
        <is>
          <t>1Q26</t>
        </is>
      </c>
      <c r="B77" s="12" t="inlineStr">
        <is>
          <t>inflows_adip</t>
        </is>
      </c>
      <c r="C77" s="12" t="n">
        <v>3453</v>
      </c>
    </row>
    <row r="78">
      <c r="A78" s="12" t="inlineStr">
        <is>
          <t>1Q26</t>
        </is>
      </c>
      <c r="B78" s="12" t="inlineStr">
        <is>
          <t>inflows_athene</t>
        </is>
      </c>
      <c r="C78" s="12" t="n">
        <v>15957</v>
      </c>
    </row>
    <row r="79">
      <c r="A79" s="12" t="inlineStr">
        <is>
          <t>1Q26</t>
        </is>
      </c>
      <c r="B79" s="12" t="inlineStr">
        <is>
          <t>inflows_ceded_3p</t>
        </is>
      </c>
      <c r="C79" s="12" t="n">
        <v>337</v>
      </c>
    </row>
    <row r="80">
      <c r="A80" s="12" t="inlineStr">
        <is>
          <t>1Q26</t>
        </is>
      </c>
      <c r="B80" s="12" t="inlineStr">
        <is>
          <t>net_flows</t>
        </is>
      </c>
      <c r="C80" s="12" t="n">
        <v>8979</v>
      </c>
    </row>
    <row r="81">
      <c r="A81" s="12" t="inlineStr">
        <is>
          <t>1Q26</t>
        </is>
      </c>
      <c r="B81" s="12" t="inlineStr">
        <is>
          <t>nrl_begin</t>
        </is>
      </c>
      <c r="C81" s="12" t="n">
        <v>271233</v>
      </c>
    </row>
    <row r="82">
      <c r="A82" s="12" t="inlineStr">
        <is>
          <t>1Q26</t>
        </is>
      </c>
      <c r="B82" s="12" t="inlineStr">
        <is>
          <t>nrl_deferred_total</t>
        </is>
      </c>
      <c r="C82" s="12" t="n">
        <v>168701</v>
      </c>
    </row>
    <row r="83">
      <c r="A83" s="12" t="inlineStr">
        <is>
          <t>1Q26</t>
        </is>
      </c>
      <c r="B83" s="12" t="inlineStr">
        <is>
          <t>nrl_end</t>
        </is>
      </c>
      <c r="C83" s="12" t="n">
        <v>279189</v>
      </c>
    </row>
    <row r="84">
      <c r="A84" s="12" t="inlineStr">
        <is>
          <t>1Q26</t>
        </is>
      </c>
      <c r="B84" s="12" t="inlineStr">
        <is>
          <t>nrl_fa</t>
        </is>
      </c>
      <c r="C84" s="12" t="n">
        <v>75962</v>
      </c>
    </row>
    <row r="85">
      <c r="A85" s="12" t="inlineStr">
        <is>
          <t>1Q26</t>
        </is>
      </c>
      <c r="B85" s="12" t="inlineStr">
        <is>
          <t>nrl_fixed</t>
        </is>
      </c>
      <c r="C85" s="12" t="n">
        <v>82324</v>
      </c>
    </row>
    <row r="86">
      <c r="A86" s="12" t="inlineStr">
        <is>
          <t>1Q26</t>
        </is>
      </c>
      <c r="B86" s="12" t="inlineStr">
        <is>
          <t>nrl_indexed</t>
        </is>
      </c>
      <c r="C86" s="12" t="n">
        <v>86377</v>
      </c>
    </row>
    <row r="87">
      <c r="A87" s="12" t="inlineStr">
        <is>
          <t>1Q26</t>
        </is>
      </c>
      <c r="B87" s="12" t="inlineStr">
        <is>
          <t>nrl_life_other</t>
        </is>
      </c>
      <c r="C87" s="12" t="n">
        <v>5038</v>
      </c>
    </row>
    <row r="88">
      <c r="A88" s="12" t="inlineStr">
        <is>
          <t>1Q26</t>
        </is>
      </c>
      <c r="B88" s="12" t="inlineStr">
        <is>
          <t>nrl_payout</t>
        </is>
      </c>
      <c r="C88" s="12" t="n">
        <v>5239</v>
      </c>
    </row>
    <row r="89">
      <c r="A89" s="12" t="inlineStr">
        <is>
          <t>1Q26</t>
        </is>
      </c>
      <c r="B89" s="12" t="inlineStr">
        <is>
          <t>nrl_pga</t>
        </is>
      </c>
      <c r="C89" s="12" t="n">
        <v>24249</v>
      </c>
    </row>
    <row r="90">
      <c r="A90" s="12" t="inlineStr">
        <is>
          <t>1Q26</t>
        </is>
      </c>
      <c r="B90" s="12" t="inlineStr">
        <is>
          <t>nrl_total</t>
        </is>
      </c>
      <c r="C90" s="12" t="n">
        <v>279189</v>
      </c>
    </row>
    <row r="91">
      <c r="A91" s="12" t="inlineStr">
        <is>
          <t>1Q26</t>
        </is>
      </c>
      <c r="B91" s="12" t="inlineStr">
        <is>
          <t>other_spread</t>
        </is>
      </c>
      <c r="C91" s="12" t="n">
        <v>1343</v>
      </c>
    </row>
    <row r="92">
      <c r="A92" s="12" t="inlineStr">
        <is>
          <t>1Q26</t>
        </is>
      </c>
      <c r="B92" s="12" t="inlineStr">
        <is>
          <t>outflow_income_planned</t>
        </is>
      </c>
      <c r="C92" s="12" t="n">
        <v>-1845</v>
      </c>
    </row>
    <row r="93">
      <c r="A93" s="12" t="inlineStr">
        <is>
          <t>1Q26</t>
        </is>
      </c>
      <c r="B93" s="12" t="inlineStr">
        <is>
          <t>outflow_isc_unplanned</t>
        </is>
      </c>
      <c r="C93" s="12" t="n">
        <v>-718</v>
      </c>
    </row>
    <row r="94">
      <c r="A94" s="12" t="inlineStr">
        <is>
          <t>1Q26</t>
        </is>
      </c>
      <c r="B94" s="12" t="inlineStr">
        <is>
          <t>outflow_maturity_driven</t>
        </is>
      </c>
      <c r="C94" s="12" t="n">
        <v>-4960</v>
      </c>
    </row>
    <row r="95">
      <c r="A95" s="12" t="inlineStr">
        <is>
          <t>1Q26</t>
        </is>
      </c>
      <c r="B95" s="12" t="inlineStr">
        <is>
          <t>outflow_oosc_planned</t>
        </is>
      </c>
      <c r="C95" s="12" t="n">
        <v>-1089</v>
      </c>
    </row>
    <row r="96">
      <c r="A96" s="12" t="inlineStr">
        <is>
          <t>1Q26</t>
        </is>
      </c>
      <c r="B96" s="12" t="inlineStr">
        <is>
          <t>outflow_policyholder</t>
        </is>
      </c>
      <c r="C96" s="12" t="n">
        <v>-3652</v>
      </c>
    </row>
    <row r="97">
      <c r="A97" s="12" t="inlineStr">
        <is>
          <t>1Q26</t>
        </is>
      </c>
      <c r="B97" s="12" t="inlineStr">
        <is>
          <t>outflows_adip</t>
        </is>
      </c>
      <c r="C97" s="12" t="n">
        <v>-2156</v>
      </c>
    </row>
    <row r="98">
      <c r="A98" s="12" t="inlineStr">
        <is>
          <t>1Q26</t>
        </is>
      </c>
      <c r="B98" s="12" t="inlineStr">
        <is>
          <t>outflows_athene</t>
        </is>
      </c>
      <c r="C98" s="12" t="n">
        <v>-8612</v>
      </c>
    </row>
    <row r="99">
      <c r="A99" s="12" t="inlineStr">
        <is>
          <t>1Q26</t>
        </is>
      </c>
      <c r="B99" s="12" t="inlineStr">
        <is>
          <t>pga</t>
        </is>
      </c>
      <c r="C99" s="12" t="n">
        <v>0</v>
      </c>
    </row>
    <row r="100">
      <c r="A100" s="12" t="inlineStr">
        <is>
          <t>1Q26</t>
        </is>
      </c>
      <c r="B100" s="12" t="inlineStr">
        <is>
          <t>retail</t>
        </is>
      </c>
      <c r="C100" s="12" t="n">
        <v>7270</v>
      </c>
    </row>
    <row r="101">
      <c r="A101" s="12" t="inlineStr">
        <is>
          <t>1Q26</t>
        </is>
      </c>
      <c r="B101" s="12" t="inlineStr">
        <is>
          <t>roll_acra_nci</t>
        </is>
      </c>
      <c r="C101" s="12" t="n">
        <v>-3470</v>
      </c>
    </row>
    <row r="102">
      <c r="A102" s="12" t="inlineStr">
        <is>
          <t>1Q26</t>
        </is>
      </c>
      <c r="B102" s="12" t="inlineStr">
        <is>
          <t>roll_acra_own</t>
        </is>
      </c>
      <c r="C102" s="12" t="n">
        <v>0</v>
      </c>
    </row>
    <row r="103">
      <c r="A103" s="12" t="inlineStr">
        <is>
          <t>1Q26</t>
        </is>
      </c>
      <c r="B103" s="12" t="inlineStr">
        <is>
          <t>roll_block</t>
        </is>
      </c>
      <c r="C103" s="12" t="n">
        <v>0</v>
      </c>
    </row>
    <row r="104">
      <c r="A104" s="12" t="inlineStr">
        <is>
          <t>1Q26</t>
        </is>
      </c>
      <c r="B104" s="12" t="inlineStr">
        <is>
          <t>roll_ceded_3p</t>
        </is>
      </c>
      <c r="C104" s="12" t="n">
        <v>-337</v>
      </c>
    </row>
    <row r="105">
      <c r="A105" s="12" t="inlineStr">
        <is>
          <t>1Q26</t>
        </is>
      </c>
      <c r="B105" s="12" t="inlineStr">
        <is>
          <t>roll_gross_inflows</t>
        </is>
      </c>
      <c r="C105" s="12" t="n">
        <v>19869</v>
      </c>
    </row>
    <row r="106">
      <c r="A106" s="12" t="inlineStr">
        <is>
          <t>1Q26</t>
        </is>
      </c>
      <c r="B106" s="12" t="inlineStr">
        <is>
          <t>roll_net_inflows</t>
        </is>
      </c>
      <c r="C106" s="12" t="n">
        <v>16062</v>
      </c>
    </row>
    <row r="107">
      <c r="A107" s="12" t="inlineStr">
        <is>
          <t>1Q26</t>
        </is>
      </c>
      <c r="B107" s="12" t="inlineStr">
        <is>
          <t>roll_net_withdrawals</t>
        </is>
      </c>
      <c r="C107" s="12" t="n">
        <v>-8612</v>
      </c>
    </row>
    <row r="108">
      <c r="A108" s="12" t="inlineStr">
        <is>
          <t>1Q26</t>
        </is>
      </c>
      <c r="B108" s="12" t="inlineStr">
        <is>
          <t>roll_other</t>
        </is>
      </c>
      <c r="C108" s="12" t="n">
        <v>506</v>
      </c>
    </row>
    <row r="109">
      <c r="A109" s="12" t="inlineStr">
        <is>
          <t>1Q26</t>
        </is>
      </c>
      <c r="B109" s="12" t="inlineStr">
        <is>
          <t>sre</t>
        </is>
      </c>
      <c r="C109" s="12" t="n">
        <v>719</v>
      </c>
    </row>
    <row r="110">
      <c r="A110" s="12" t="inlineStr">
        <is>
          <t>1Q26</t>
        </is>
      </c>
      <c r="B110" s="12" t="inlineStr">
        <is>
          <t>sre_alt_nii</t>
        </is>
      </c>
      <c r="C110" s="12" t="n">
        <v>210</v>
      </c>
    </row>
    <row r="111">
      <c r="A111" s="12" t="inlineStr">
        <is>
          <t>1Q26</t>
        </is>
      </c>
      <c r="B111" s="12" t="inlineStr">
        <is>
          <t>sre_alt_nii_pct</t>
        </is>
      </c>
      <c r="C111" s="12" t="n">
        <v>5.79</v>
      </c>
    </row>
    <row r="112">
      <c r="A112" s="12" t="inlineStr">
        <is>
          <t>1Q26</t>
        </is>
      </c>
      <c r="B112" s="12" t="inlineStr">
        <is>
          <t>sre_cof</t>
        </is>
      </c>
      <c r="C112" s="12" t="n">
        <v>-2807</v>
      </c>
    </row>
    <row r="113">
      <c r="A113" s="12" t="inlineStr">
        <is>
          <t>1Q26</t>
        </is>
      </c>
      <c r="B113" s="12" t="inlineStr">
        <is>
          <t>sre_cof_pct</t>
        </is>
      </c>
      <c r="C113" s="12" t="n">
        <v>-3.79</v>
      </c>
    </row>
    <row r="114">
      <c r="A114" s="12" t="inlineStr">
        <is>
          <t>1Q26</t>
        </is>
      </c>
      <c r="B114" s="12" t="inlineStr">
        <is>
          <t>sre_fees</t>
        </is>
      </c>
      <c r="C114" s="12" t="n">
        <v>36</v>
      </c>
    </row>
    <row r="115">
      <c r="A115" s="12" t="inlineStr">
        <is>
          <t>1Q26</t>
        </is>
      </c>
      <c r="B115" s="12" t="inlineStr">
        <is>
          <t>sre_fees_pct</t>
        </is>
      </c>
      <c r="C115" s="12" t="n">
        <v>0.05</v>
      </c>
    </row>
    <row r="116">
      <c r="A116" s="12" t="inlineStr">
        <is>
          <t>1Q26</t>
        </is>
      </c>
      <c r="B116" s="12" t="inlineStr">
        <is>
          <t>sre_fi_nii</t>
        </is>
      </c>
      <c r="C116" s="12" t="n">
        <v>3551</v>
      </c>
    </row>
    <row r="117">
      <c r="A117" s="12" t="inlineStr">
        <is>
          <t>1Q26</t>
        </is>
      </c>
      <c r="B117" s="12" t="inlineStr">
        <is>
          <t>sre_fi_nii_pct</t>
        </is>
      </c>
      <c r="C117" s="12" t="n">
        <v>5.04</v>
      </c>
    </row>
    <row r="118">
      <c r="A118" s="12" t="inlineStr">
        <is>
          <t>1Q26</t>
        </is>
      </c>
      <c r="B118" s="12" t="inlineStr">
        <is>
          <t>sre_fin</t>
        </is>
      </c>
      <c r="C118" s="12" t="n">
        <v>-153</v>
      </c>
    </row>
    <row r="119">
      <c r="A119" s="12" t="inlineStr">
        <is>
          <t>1Q26</t>
        </is>
      </c>
      <c r="B119" s="12" t="inlineStr">
        <is>
          <t>sre_fin_pct</t>
        </is>
      </c>
      <c r="C119" s="12" t="n">
        <v>-0.21</v>
      </c>
    </row>
    <row r="120">
      <c r="A120" s="12" t="inlineStr">
        <is>
          <t>1Q26</t>
        </is>
      </c>
      <c r="B120" s="12" t="inlineStr">
        <is>
          <t>sre_nie</t>
        </is>
      </c>
      <c r="C120" s="12" t="n">
        <v>3761</v>
      </c>
    </row>
    <row r="121">
      <c r="A121" s="12" t="inlineStr">
        <is>
          <t>1Q26</t>
        </is>
      </c>
      <c r="B121" s="12" t="inlineStr">
        <is>
          <t>sre_nie_pct</t>
        </is>
      </c>
      <c r="C121" s="12" t="n">
        <v>5.08</v>
      </c>
    </row>
    <row r="122">
      <c r="A122" s="12" t="inlineStr">
        <is>
          <t>1Q26</t>
        </is>
      </c>
      <c r="B122" s="12" t="inlineStr">
        <is>
          <t>sre_nis</t>
        </is>
      </c>
      <c r="C122" s="12" t="n">
        <v>990</v>
      </c>
    </row>
    <row r="123">
      <c r="A123" s="12" t="inlineStr">
        <is>
          <t>1Q26</t>
        </is>
      </c>
      <c r="B123" s="12" t="inlineStr">
        <is>
          <t>sre_nis_pct</t>
        </is>
      </c>
      <c r="C123" s="12" t="n">
        <v>1.34</v>
      </c>
    </row>
    <row r="124">
      <c r="A124" s="12" t="inlineStr">
        <is>
          <t>1Q26</t>
        </is>
      </c>
      <c r="B124" s="12" t="inlineStr">
        <is>
          <t>sre_opex</t>
        </is>
      </c>
      <c r="C124" s="12" t="n">
        <v>-118</v>
      </c>
    </row>
    <row r="125">
      <c r="A125" s="12" t="inlineStr">
        <is>
          <t>1Q26</t>
        </is>
      </c>
      <c r="B125" s="12" t="inlineStr">
        <is>
          <t>sre_opex_pct</t>
        </is>
      </c>
      <c r="C125" s="12" t="n">
        <v>-0.16</v>
      </c>
    </row>
    <row r="126">
      <c r="A126" s="12" t="inlineStr">
        <is>
          <t>1Q26</t>
        </is>
      </c>
      <c r="B126" s="12" t="inlineStr">
        <is>
          <t>sre_pct</t>
        </is>
      </c>
      <c r="C126" s="12" t="n">
        <v>0.97</v>
      </c>
    </row>
    <row r="127">
      <c r="A127" s="12" t="inlineStr">
        <is>
          <t>1Q26</t>
        </is>
      </c>
      <c r="B127" s="12" t="inlineStr">
        <is>
          <t>total_gross_inflows</t>
        </is>
      </c>
      <c r="C127" s="12" t="n">
        <v>19747</v>
      </c>
    </row>
    <row r="128">
      <c r="A128" s="12" t="inlineStr">
        <is>
          <t>1Q26</t>
        </is>
      </c>
      <c r="B128" s="12" t="inlineStr">
        <is>
          <t>total_gross_inflows_check</t>
        </is>
      </c>
      <c r="C128" s="12" t="n">
        <v>19747</v>
      </c>
    </row>
    <row r="129">
      <c r="A129" s="12" t="inlineStr">
        <is>
          <t>1Q26</t>
        </is>
      </c>
      <c r="B129" s="12" t="inlineStr">
        <is>
          <t>total_gross_outflows_check</t>
        </is>
      </c>
      <c r="C129" s="12" t="n">
        <v>-10768</v>
      </c>
    </row>
    <row r="130">
      <c r="A130" s="12" t="inlineStr">
        <is>
          <t>2Q25</t>
        </is>
      </c>
      <c r="B130" s="12" t="inlineStr">
        <is>
          <t>acra_begin</t>
        </is>
      </c>
      <c r="C130" s="12" t="n">
        <v>76842</v>
      </c>
    </row>
    <row r="131">
      <c r="A131" s="12" t="inlineStr">
        <is>
          <t>2Q25</t>
        </is>
      </c>
      <c r="B131" s="12" t="inlineStr">
        <is>
          <t>acra_end</t>
        </is>
      </c>
      <c r="C131" s="12" t="n">
        <v>81809</v>
      </c>
    </row>
    <row r="132">
      <c r="A132" s="12" t="inlineStr">
        <is>
          <t>2Q25</t>
        </is>
      </c>
      <c r="B132" s="12" t="inlineStr">
        <is>
          <t>acra_inflows</t>
        </is>
      </c>
      <c r="C132" s="12" t="n">
        <v>5091</v>
      </c>
    </row>
    <row r="133">
      <c r="A133" s="12" t="inlineStr">
        <is>
          <t>2Q25</t>
        </is>
      </c>
      <c r="B133" s="12" t="inlineStr">
        <is>
          <t>acra_other</t>
        </is>
      </c>
      <c r="C133" s="12" t="n">
        <v>1293</v>
      </c>
    </row>
    <row r="134">
      <c r="A134" s="12" t="inlineStr">
        <is>
          <t>2Q25</t>
        </is>
      </c>
      <c r="B134" s="12" t="inlineStr">
        <is>
          <t>acra_own</t>
        </is>
      </c>
      <c r="C134" s="12" t="n">
        <v>0</v>
      </c>
    </row>
    <row r="135">
      <c r="A135" s="12" t="inlineStr">
        <is>
          <t>2Q25</t>
        </is>
      </c>
      <c r="B135" s="12" t="inlineStr">
        <is>
          <t>acra_withdrawals</t>
        </is>
      </c>
      <c r="C135" s="12" t="n">
        <v>-1417</v>
      </c>
    </row>
    <row r="136">
      <c r="A136" s="12" t="inlineStr">
        <is>
          <t>2Q25</t>
        </is>
      </c>
      <c r="B136" s="12" t="inlineStr">
        <is>
          <t>avg_nia</t>
        </is>
      </c>
      <c r="C136" s="12" t="n">
        <v>268703</v>
      </c>
    </row>
    <row r="137">
      <c r="A137" s="12" t="inlineStr">
        <is>
          <t>2Q25</t>
        </is>
      </c>
      <c r="B137" s="12" t="inlineStr">
        <is>
          <t>avg_nia_alt</t>
        </is>
      </c>
      <c r="C137" s="12" t="n">
        <v>12914</v>
      </c>
    </row>
    <row r="138">
      <c r="A138" s="12" t="inlineStr">
        <is>
          <t>2Q25</t>
        </is>
      </c>
      <c r="B138" s="12" t="inlineStr">
        <is>
          <t>avg_nia_fi</t>
        </is>
      </c>
      <c r="C138" s="12" t="n">
        <v>255789</v>
      </c>
    </row>
    <row r="139">
      <c r="A139" s="12" t="inlineStr">
        <is>
          <t>2Q25</t>
        </is>
      </c>
      <c r="B139" s="12" t="inlineStr">
        <is>
          <t>core_outflows</t>
        </is>
      </c>
      <c r="C139" s="12" t="n">
        <v>-5813</v>
      </c>
    </row>
    <row r="140">
      <c r="A140" s="12" t="inlineStr">
        <is>
          <t>2Q25</t>
        </is>
      </c>
      <c r="B140" s="12" t="inlineStr">
        <is>
          <t>flow_reins</t>
        </is>
      </c>
      <c r="C140" s="12" t="n">
        <v>2031</v>
      </c>
    </row>
    <row r="141">
      <c r="A141" s="12" t="inlineStr">
        <is>
          <t>2Q25</t>
        </is>
      </c>
      <c r="B141" s="12" t="inlineStr">
        <is>
          <t>funding_agreements</t>
        </is>
      </c>
      <c r="C141" s="12" t="n">
        <v>11707</v>
      </c>
    </row>
    <row r="142">
      <c r="A142" s="12" t="inlineStr">
        <is>
          <t>2Q25</t>
        </is>
      </c>
      <c r="B142" s="12" t="inlineStr">
        <is>
          <t>gross_inorganic</t>
        </is>
      </c>
      <c r="C142" s="12" t="n">
        <v>0</v>
      </c>
    </row>
    <row r="143">
      <c r="A143" s="12" t="inlineStr">
        <is>
          <t>2Q25</t>
        </is>
      </c>
      <c r="B143" s="12" t="inlineStr">
        <is>
          <t>gross_organic</t>
        </is>
      </c>
      <c r="C143" s="12" t="n">
        <v>21232</v>
      </c>
    </row>
    <row r="144">
      <c r="A144" s="12" t="inlineStr">
        <is>
          <t>2Q25</t>
        </is>
      </c>
      <c r="B144" s="12" t="inlineStr">
        <is>
          <t>gross_outflows</t>
        </is>
      </c>
      <c r="C144" s="12" t="n">
        <v>-7230</v>
      </c>
    </row>
    <row r="145">
      <c r="A145" s="12" t="inlineStr">
        <is>
          <t>2Q25</t>
        </is>
      </c>
      <c r="B145" s="12" t="inlineStr">
        <is>
          <t>inflows_adip</t>
        </is>
      </c>
      <c r="C145" s="12" t="n">
        <v>5019</v>
      </c>
    </row>
    <row r="146">
      <c r="A146" s="12" t="inlineStr">
        <is>
          <t>2Q25</t>
        </is>
      </c>
      <c r="B146" s="12" t="inlineStr">
        <is>
          <t>inflows_athene</t>
        </is>
      </c>
      <c r="C146" s="12" t="n">
        <v>15838</v>
      </c>
    </row>
    <row r="147">
      <c r="A147" s="12" t="inlineStr">
        <is>
          <t>2Q25</t>
        </is>
      </c>
      <c r="B147" s="12" t="inlineStr">
        <is>
          <t>inflows_ceded_3p</t>
        </is>
      </c>
      <c r="C147" s="12" t="n">
        <v>375</v>
      </c>
    </row>
    <row r="148">
      <c r="A148" s="12" t="inlineStr">
        <is>
          <t>2Q25</t>
        </is>
      </c>
      <c r="B148" s="12" t="inlineStr">
        <is>
          <t>net_flows</t>
        </is>
      </c>
      <c r="C148" s="12" t="n">
        <v>14002</v>
      </c>
    </row>
    <row r="149">
      <c r="A149" s="12" t="inlineStr">
        <is>
          <t>2Q25</t>
        </is>
      </c>
      <c r="B149" s="12" t="inlineStr">
        <is>
          <t>nrl_begin</t>
        </is>
      </c>
      <c r="C149" s="12" t="n">
        <v>241666</v>
      </c>
    </row>
    <row r="150">
      <c r="A150" s="12" t="inlineStr">
        <is>
          <t>2Q25</t>
        </is>
      </c>
      <c r="B150" s="12" t="inlineStr">
        <is>
          <t>nrl_end</t>
        </is>
      </c>
      <c r="C150" s="12" t="n">
        <v>254572</v>
      </c>
    </row>
    <row r="151">
      <c r="A151" s="12" t="inlineStr">
        <is>
          <t>2Q25</t>
        </is>
      </c>
      <c r="B151" s="12" t="inlineStr">
        <is>
          <t>other_spread</t>
        </is>
      </c>
      <c r="C151" s="12" t="n">
        <v>237</v>
      </c>
    </row>
    <row r="152">
      <c r="A152" s="12" t="inlineStr">
        <is>
          <t>2Q25</t>
        </is>
      </c>
      <c r="B152" s="12" t="inlineStr">
        <is>
          <t>outflow_income_planned</t>
        </is>
      </c>
      <c r="C152" s="12" t="n">
        <v>-1609</v>
      </c>
    </row>
    <row r="153">
      <c r="A153" s="12" t="inlineStr">
        <is>
          <t>2Q25</t>
        </is>
      </c>
      <c r="B153" s="12" t="inlineStr">
        <is>
          <t>outflow_isc_unplanned</t>
        </is>
      </c>
      <c r="C153" s="12" t="n">
        <v>-790</v>
      </c>
    </row>
    <row r="154">
      <c r="A154" s="12" t="inlineStr">
        <is>
          <t>2Q25</t>
        </is>
      </c>
      <c r="B154" s="12" t="inlineStr">
        <is>
          <t>outflow_maturity_driven</t>
        </is>
      </c>
      <c r="C154" s="12" t="n">
        <v>-2389</v>
      </c>
    </row>
    <row r="155">
      <c r="A155" s="12" t="inlineStr">
        <is>
          <t>2Q25</t>
        </is>
      </c>
      <c r="B155" s="12" t="inlineStr">
        <is>
          <t>outflow_oosc_planned</t>
        </is>
      </c>
      <c r="C155" s="12" t="n">
        <v>-1025</v>
      </c>
    </row>
    <row r="156">
      <c r="A156" s="12" t="inlineStr">
        <is>
          <t>2Q25</t>
        </is>
      </c>
      <c r="B156" s="12" t="inlineStr">
        <is>
          <t>outflow_policyholder</t>
        </is>
      </c>
      <c r="C156" s="12" t="n">
        <v>-3424</v>
      </c>
    </row>
    <row r="157">
      <c r="A157" s="12" t="inlineStr">
        <is>
          <t>2Q25</t>
        </is>
      </c>
      <c r="B157" s="12" t="inlineStr">
        <is>
          <t>outflows_adip</t>
        </is>
      </c>
      <c r="C157" s="12" t="n">
        <v>-1417</v>
      </c>
    </row>
    <row r="158">
      <c r="A158" s="12" t="inlineStr">
        <is>
          <t>2Q25</t>
        </is>
      </c>
      <c r="B158" s="12" t="inlineStr">
        <is>
          <t>outflows_athene</t>
        </is>
      </c>
      <c r="C158" s="12" t="n">
        <v>-5813</v>
      </c>
    </row>
    <row r="159">
      <c r="A159" s="12" t="inlineStr">
        <is>
          <t>2Q25</t>
        </is>
      </c>
      <c r="B159" s="12" t="inlineStr">
        <is>
          <t>pga</t>
        </is>
      </c>
      <c r="C159" s="12" t="n">
        <v>1</v>
      </c>
    </row>
    <row r="160">
      <c r="A160" s="12" t="inlineStr">
        <is>
          <t>2Q25</t>
        </is>
      </c>
      <c r="B160" s="12" t="inlineStr">
        <is>
          <t>retail</t>
        </is>
      </c>
      <c r="C160" s="12" t="n">
        <v>7256</v>
      </c>
    </row>
    <row r="161">
      <c r="A161" s="12" t="inlineStr">
        <is>
          <t>2Q25</t>
        </is>
      </c>
      <c r="B161" s="12" t="inlineStr">
        <is>
          <t>roll_acra_nci</t>
        </is>
      </c>
      <c r="C161" s="12" t="n">
        <v>-5091</v>
      </c>
    </row>
    <row r="162">
      <c r="A162" s="12" t="inlineStr">
        <is>
          <t>2Q25</t>
        </is>
      </c>
      <c r="B162" s="12" t="inlineStr">
        <is>
          <t>roll_acra_own</t>
        </is>
      </c>
      <c r="C162" s="12" t="n">
        <v>0</v>
      </c>
    </row>
    <row r="163">
      <c r="A163" s="12" t="inlineStr">
        <is>
          <t>2Q25</t>
        </is>
      </c>
      <c r="B163" s="12" t="inlineStr">
        <is>
          <t>roll_block</t>
        </is>
      </c>
      <c r="C163" s="12" t="n">
        <v>0</v>
      </c>
    </row>
    <row r="164">
      <c r="A164" s="12" t="inlineStr">
        <is>
          <t>2Q25</t>
        </is>
      </c>
      <c r="B164" s="12" t="inlineStr">
        <is>
          <t>roll_ceded_3p</t>
        </is>
      </c>
      <c r="C164" s="12" t="n">
        <v>-367</v>
      </c>
    </row>
    <row r="165">
      <c r="A165" s="12" t="inlineStr">
        <is>
          <t>2Q25</t>
        </is>
      </c>
      <c r="B165" s="12" t="inlineStr">
        <is>
          <t>roll_gross_inflows</t>
        </is>
      </c>
      <c r="C165" s="12" t="n">
        <v>21533</v>
      </c>
    </row>
    <row r="166">
      <c r="A166" s="12" t="inlineStr">
        <is>
          <t>2Q25</t>
        </is>
      </c>
      <c r="B166" s="12" t="inlineStr">
        <is>
          <t>roll_net_inflows</t>
        </is>
      </c>
      <c r="C166" s="12" t="n">
        <v>16075</v>
      </c>
    </row>
    <row r="167">
      <c r="A167" s="12" t="inlineStr">
        <is>
          <t>2Q25</t>
        </is>
      </c>
      <c r="B167" s="12" t="inlineStr">
        <is>
          <t>roll_net_withdrawals</t>
        </is>
      </c>
      <c r="C167" s="12" t="n">
        <v>-5813</v>
      </c>
    </row>
    <row r="168">
      <c r="A168" s="12" t="inlineStr">
        <is>
          <t>2Q25</t>
        </is>
      </c>
      <c r="B168" s="12" t="inlineStr">
        <is>
          <t>roll_other</t>
        </is>
      </c>
      <c r="C168" s="12" t="n">
        <v>2644</v>
      </c>
    </row>
    <row r="169">
      <c r="A169" s="12" t="inlineStr">
        <is>
          <t>2Q25</t>
        </is>
      </c>
      <c r="B169" s="12" t="inlineStr">
        <is>
          <t>sre</t>
        </is>
      </c>
      <c r="C169" s="12" t="n">
        <v>820</v>
      </c>
    </row>
    <row r="170">
      <c r="A170" s="12" t="inlineStr">
        <is>
          <t>2Q25</t>
        </is>
      </c>
      <c r="B170" s="12" t="inlineStr">
        <is>
          <t>sre_alt_nii</t>
        </is>
      </c>
      <c r="C170" s="12" t="n">
        <v>319</v>
      </c>
    </row>
    <row r="171">
      <c r="A171" s="12" t="inlineStr">
        <is>
          <t>2Q25</t>
        </is>
      </c>
      <c r="B171" s="12" t="inlineStr">
        <is>
          <t>sre_alt_nii_pct</t>
        </is>
      </c>
      <c r="C171" s="12" t="n">
        <v>9.859999999999999</v>
      </c>
    </row>
    <row r="172">
      <c r="A172" s="12" t="inlineStr">
        <is>
          <t>2Q25</t>
        </is>
      </c>
      <c r="B172" s="12" t="inlineStr">
        <is>
          <t>sre_cof</t>
        </is>
      </c>
      <c r="C172" s="12" t="n">
        <v>-2470</v>
      </c>
    </row>
    <row r="173">
      <c r="A173" s="12" t="inlineStr">
        <is>
          <t>2Q25</t>
        </is>
      </c>
      <c r="B173" s="12" t="inlineStr">
        <is>
          <t>sre_cof_pct</t>
        </is>
      </c>
      <c r="C173" s="12" t="n">
        <v>-3.68</v>
      </c>
    </row>
    <row r="174">
      <c r="A174" s="12" t="inlineStr">
        <is>
          <t>2Q25</t>
        </is>
      </c>
      <c r="B174" s="12" t="inlineStr">
        <is>
          <t>sre_fees</t>
        </is>
      </c>
      <c r="C174" s="12" t="n">
        <v>32</v>
      </c>
    </row>
    <row r="175">
      <c r="A175" s="12" t="inlineStr">
        <is>
          <t>2Q25</t>
        </is>
      </c>
      <c r="B175" s="12" t="inlineStr">
        <is>
          <t>sre_fees_pct</t>
        </is>
      </c>
      <c r="C175" s="12" t="n">
        <v>0.05</v>
      </c>
    </row>
    <row r="176">
      <c r="A176" s="12" t="inlineStr">
        <is>
          <t>2Q25</t>
        </is>
      </c>
      <c r="B176" s="12" t="inlineStr">
        <is>
          <t>sre_fi_nii</t>
        </is>
      </c>
      <c r="C176" s="12" t="n">
        <v>3180</v>
      </c>
    </row>
    <row r="177">
      <c r="A177" s="12" t="inlineStr">
        <is>
          <t>2Q25</t>
        </is>
      </c>
      <c r="B177" s="12" t="inlineStr">
        <is>
          <t>sre_fi_nii_pct</t>
        </is>
      </c>
      <c r="C177" s="12" t="n">
        <v>4.97</v>
      </c>
    </row>
    <row r="178">
      <c r="A178" s="12" t="inlineStr">
        <is>
          <t>2Q25</t>
        </is>
      </c>
      <c r="B178" s="12" t="inlineStr">
        <is>
          <t>sre_fin</t>
        </is>
      </c>
      <c r="C178" s="12" t="n">
        <v>-132</v>
      </c>
    </row>
    <row r="179">
      <c r="A179" s="12" t="inlineStr">
        <is>
          <t>2Q25</t>
        </is>
      </c>
      <c r="B179" s="12" t="inlineStr">
        <is>
          <t>sre_fin_pct</t>
        </is>
      </c>
      <c r="C179" s="12" t="n">
        <v>-0.2</v>
      </c>
    </row>
    <row r="180">
      <c r="A180" s="12" t="inlineStr">
        <is>
          <t>2Q25</t>
        </is>
      </c>
      <c r="B180" s="12" t="inlineStr">
        <is>
          <t>sre_nie</t>
        </is>
      </c>
      <c r="C180" s="12" t="n">
        <v>3499</v>
      </c>
    </row>
    <row r="181">
      <c r="A181" s="12" t="inlineStr">
        <is>
          <t>2Q25</t>
        </is>
      </c>
      <c r="B181" s="12" t="inlineStr">
        <is>
          <t>sre_nie_pct</t>
        </is>
      </c>
      <c r="C181" s="12" t="n">
        <v>5.21</v>
      </c>
    </row>
    <row r="182">
      <c r="A182" s="12" t="inlineStr">
        <is>
          <t>2Q25</t>
        </is>
      </c>
      <c r="B182" s="12" t="inlineStr">
        <is>
          <t>sre_nis</t>
        </is>
      </c>
      <c r="C182" s="12" t="n">
        <v>1061</v>
      </c>
    </row>
    <row r="183">
      <c r="A183" s="12" t="inlineStr">
        <is>
          <t>2Q25</t>
        </is>
      </c>
      <c r="B183" s="12" t="inlineStr">
        <is>
          <t>sre_nis_pct</t>
        </is>
      </c>
      <c r="C183" s="12" t="n">
        <v>1.58</v>
      </c>
    </row>
    <row r="184">
      <c r="A184" s="12" t="inlineStr">
        <is>
          <t>2Q25</t>
        </is>
      </c>
      <c r="B184" s="12" t="inlineStr">
        <is>
          <t>sre_opex</t>
        </is>
      </c>
      <c r="C184" s="12" t="n">
        <v>-109</v>
      </c>
    </row>
    <row r="185">
      <c r="A185" s="12" t="inlineStr">
        <is>
          <t>2Q25</t>
        </is>
      </c>
      <c r="B185" s="12" t="inlineStr">
        <is>
          <t>sre_opex_pct</t>
        </is>
      </c>
      <c r="C185" s="12" t="n">
        <v>-0.16</v>
      </c>
    </row>
    <row r="186">
      <c r="A186" s="12" t="inlineStr">
        <is>
          <t>2Q25</t>
        </is>
      </c>
      <c r="B186" s="12" t="inlineStr">
        <is>
          <t>sre_pct</t>
        </is>
      </c>
      <c r="C186" s="12" t="n">
        <v>1.22</v>
      </c>
    </row>
    <row r="187">
      <c r="A187" s="12" t="inlineStr">
        <is>
          <t>2Q25</t>
        </is>
      </c>
      <c r="B187" s="12" t="inlineStr">
        <is>
          <t>total_gross_inflows</t>
        </is>
      </c>
      <c r="C187" s="12" t="n">
        <v>21232</v>
      </c>
    </row>
    <row r="188">
      <c r="A188" s="12" t="inlineStr">
        <is>
          <t>2Q25</t>
        </is>
      </c>
      <c r="B188" s="12" t="inlineStr">
        <is>
          <t>total_gross_inflows_check</t>
        </is>
      </c>
      <c r="C188" s="12" t="n">
        <v>21232</v>
      </c>
    </row>
    <row r="189">
      <c r="A189" s="12" t="inlineStr">
        <is>
          <t>2Q25</t>
        </is>
      </c>
      <c r="B189" s="12" t="inlineStr">
        <is>
          <t>total_gross_outflows_check</t>
        </is>
      </c>
      <c r="C189" s="12" t="n">
        <v>-7230</v>
      </c>
    </row>
    <row r="190">
      <c r="A190" s="12" t="inlineStr">
        <is>
          <t>3Q25</t>
        </is>
      </c>
      <c r="B190" s="12" t="inlineStr">
        <is>
          <t>acra_begin</t>
        </is>
      </c>
      <c r="C190" s="12" t="n">
        <v>81809</v>
      </c>
    </row>
    <row r="191">
      <c r="A191" s="12" t="inlineStr">
        <is>
          <t>3Q25</t>
        </is>
      </c>
      <c r="B191" s="12" t="inlineStr">
        <is>
          <t>acra_end</t>
        </is>
      </c>
      <c r="C191" s="12" t="n">
        <v>86826</v>
      </c>
    </row>
    <row r="192">
      <c r="A192" s="12" t="inlineStr">
        <is>
          <t>3Q25</t>
        </is>
      </c>
      <c r="B192" s="12" t="inlineStr">
        <is>
          <t>acra_inflows</t>
        </is>
      </c>
      <c r="C192" s="12" t="n">
        <v>5167</v>
      </c>
    </row>
    <row r="193">
      <c r="A193" s="12" t="inlineStr">
        <is>
          <t>3Q25</t>
        </is>
      </c>
      <c r="B193" s="12" t="inlineStr">
        <is>
          <t>acra_other</t>
        </is>
      </c>
      <c r="C193" s="12" t="n">
        <v>1307</v>
      </c>
    </row>
    <row r="194">
      <c r="A194" s="12" t="inlineStr">
        <is>
          <t>3Q25</t>
        </is>
      </c>
      <c r="B194" s="12" t="inlineStr">
        <is>
          <t>acra_own</t>
        </is>
      </c>
      <c r="C194" s="12" t="n">
        <v>0</v>
      </c>
    </row>
    <row r="195">
      <c r="A195" s="12" t="inlineStr">
        <is>
          <t>3Q25</t>
        </is>
      </c>
      <c r="B195" s="12" t="inlineStr">
        <is>
          <t>acra_withdrawals</t>
        </is>
      </c>
      <c r="C195" s="12" t="n">
        <v>-1457</v>
      </c>
    </row>
    <row r="196">
      <c r="A196" s="12" t="inlineStr">
        <is>
          <t>3Q25</t>
        </is>
      </c>
      <c r="B196" s="12" t="inlineStr">
        <is>
          <t>avg_nia</t>
        </is>
      </c>
      <c r="C196" s="12" t="n">
        <v>280607</v>
      </c>
    </row>
    <row r="197">
      <c r="A197" s="12" t="inlineStr">
        <is>
          <t>3Q25</t>
        </is>
      </c>
      <c r="B197" s="12" t="inlineStr">
        <is>
          <t>avg_nia_alt</t>
        </is>
      </c>
      <c r="C197" s="12" t="n">
        <v>13000</v>
      </c>
    </row>
    <row r="198">
      <c r="A198" s="12" t="inlineStr">
        <is>
          <t>3Q25</t>
        </is>
      </c>
      <c r="B198" s="12" t="inlineStr">
        <is>
          <t>avg_nia_fi</t>
        </is>
      </c>
      <c r="C198" s="12" t="n">
        <v>267607</v>
      </c>
    </row>
    <row r="199">
      <c r="A199" s="12" t="inlineStr">
        <is>
          <t>3Q25</t>
        </is>
      </c>
      <c r="B199" s="12" t="inlineStr">
        <is>
          <t>core_outflows</t>
        </is>
      </c>
      <c r="C199" s="12" t="n">
        <v>-9181</v>
      </c>
    </row>
    <row r="200">
      <c r="A200" s="12" t="inlineStr">
        <is>
          <t>3Q25</t>
        </is>
      </c>
      <c r="B200" s="12" t="inlineStr">
        <is>
          <t>flow_reins</t>
        </is>
      </c>
      <c r="C200" s="12" t="n">
        <v>2542</v>
      </c>
    </row>
    <row r="201">
      <c r="A201" s="12" t="inlineStr">
        <is>
          <t>3Q25</t>
        </is>
      </c>
      <c r="B201" s="12" t="inlineStr">
        <is>
          <t>funding_agreements</t>
        </is>
      </c>
      <c r="C201" s="12" t="n">
        <v>9724</v>
      </c>
    </row>
    <row r="202">
      <c r="A202" s="12" t="inlineStr">
        <is>
          <t>3Q25</t>
        </is>
      </c>
      <c r="B202" s="12" t="inlineStr">
        <is>
          <t>gross_inorganic</t>
        </is>
      </c>
      <c r="C202" s="12" t="n">
        <v>0</v>
      </c>
    </row>
    <row r="203">
      <c r="A203" s="12" t="inlineStr">
        <is>
          <t>3Q25</t>
        </is>
      </c>
      <c r="B203" s="12" t="inlineStr">
        <is>
          <t>gross_organic</t>
        </is>
      </c>
      <c r="C203" s="12" t="n">
        <v>22616</v>
      </c>
    </row>
    <row r="204">
      <c r="A204" s="12" t="inlineStr">
        <is>
          <t>3Q25</t>
        </is>
      </c>
      <c r="B204" s="12" t="inlineStr">
        <is>
          <t>gross_outflows</t>
        </is>
      </c>
      <c r="C204" s="12" t="n">
        <v>-10638</v>
      </c>
    </row>
    <row r="205">
      <c r="A205" s="12" t="inlineStr">
        <is>
          <t>3Q25</t>
        </is>
      </c>
      <c r="B205" s="12" t="inlineStr">
        <is>
          <t>inflows_adip</t>
        </is>
      </c>
      <c r="C205" s="12" t="n">
        <v>4962</v>
      </c>
    </row>
    <row r="206">
      <c r="A206" s="12" t="inlineStr">
        <is>
          <t>3Q25</t>
        </is>
      </c>
      <c r="B206" s="12" t="inlineStr">
        <is>
          <t>inflows_athene</t>
        </is>
      </c>
      <c r="C206" s="12" t="n">
        <v>17138</v>
      </c>
    </row>
    <row r="207">
      <c r="A207" s="12" t="inlineStr">
        <is>
          <t>3Q25</t>
        </is>
      </c>
      <c r="B207" s="12" t="inlineStr">
        <is>
          <t>inflows_ceded_3p</t>
        </is>
      </c>
      <c r="C207" s="12" t="n">
        <v>516</v>
      </c>
    </row>
    <row r="208">
      <c r="A208" s="12" t="inlineStr">
        <is>
          <t>3Q25</t>
        </is>
      </c>
      <c r="B208" s="12" t="inlineStr">
        <is>
          <t>net_flows</t>
        </is>
      </c>
      <c r="C208" s="12" t="n">
        <v>11978</v>
      </c>
    </row>
    <row r="209">
      <c r="A209" s="12" t="inlineStr">
        <is>
          <t>3Q25</t>
        </is>
      </c>
      <c r="B209" s="12" t="inlineStr">
        <is>
          <t>nrl_begin</t>
        </is>
      </c>
      <c r="C209" s="12" t="n">
        <v>254572</v>
      </c>
    </row>
    <row r="210">
      <c r="A210" s="12" t="inlineStr">
        <is>
          <t>3Q25</t>
        </is>
      </c>
      <c r="B210" s="12" t="inlineStr">
        <is>
          <t>nrl_end</t>
        </is>
      </c>
      <c r="C210" s="12" t="n">
        <v>266451</v>
      </c>
    </row>
    <row r="211">
      <c r="A211" s="12" t="inlineStr">
        <is>
          <t>3Q25</t>
        </is>
      </c>
      <c r="B211" s="12" t="inlineStr">
        <is>
          <t>other_spread</t>
        </is>
      </c>
      <c r="C211" s="12" t="n">
        <v>304</v>
      </c>
    </row>
    <row r="212">
      <c r="A212" s="12" t="inlineStr">
        <is>
          <t>3Q25</t>
        </is>
      </c>
      <c r="B212" s="12" t="inlineStr">
        <is>
          <t>outflow_income_planned</t>
        </is>
      </c>
      <c r="C212" s="12" t="n">
        <v>-1660</v>
      </c>
    </row>
    <row r="213">
      <c r="A213" s="12" t="inlineStr">
        <is>
          <t>3Q25</t>
        </is>
      </c>
      <c r="B213" s="12" t="inlineStr">
        <is>
          <t>outflow_isc_unplanned</t>
        </is>
      </c>
      <c r="C213" s="12" t="n">
        <v>-903</v>
      </c>
    </row>
    <row r="214">
      <c r="A214" s="12" t="inlineStr">
        <is>
          <t>3Q25</t>
        </is>
      </c>
      <c r="B214" s="12" t="inlineStr">
        <is>
          <t>outflow_maturity_driven</t>
        </is>
      </c>
      <c r="C214" s="12" t="n">
        <v>-5525</v>
      </c>
    </row>
    <row r="215">
      <c r="A215" s="12" t="inlineStr">
        <is>
          <t>3Q25</t>
        </is>
      </c>
      <c r="B215" s="12" t="inlineStr">
        <is>
          <t>outflow_oosc_planned</t>
        </is>
      </c>
      <c r="C215" s="12" t="n">
        <v>-1093</v>
      </c>
    </row>
    <row r="216">
      <c r="A216" s="12" t="inlineStr">
        <is>
          <t>3Q25</t>
        </is>
      </c>
      <c r="B216" s="12" t="inlineStr">
        <is>
          <t>outflow_policyholder</t>
        </is>
      </c>
      <c r="C216" s="12" t="n">
        <v>-3656</v>
      </c>
    </row>
    <row r="217">
      <c r="A217" s="12" t="inlineStr">
        <is>
          <t>3Q25</t>
        </is>
      </c>
      <c r="B217" s="12" t="inlineStr">
        <is>
          <t>outflows_adip</t>
        </is>
      </c>
      <c r="C217" s="12" t="n">
        <v>-1457</v>
      </c>
    </row>
    <row r="218">
      <c r="A218" s="12" t="inlineStr">
        <is>
          <t>3Q25</t>
        </is>
      </c>
      <c r="B218" s="12" t="inlineStr">
        <is>
          <t>outflows_athene</t>
        </is>
      </c>
      <c r="C218" s="12" t="n">
        <v>-9181</v>
      </c>
    </row>
    <row r="219">
      <c r="A219" s="12" t="inlineStr">
        <is>
          <t>3Q25</t>
        </is>
      </c>
      <c r="B219" s="12" t="inlineStr">
        <is>
          <t>pga</t>
        </is>
      </c>
      <c r="C219" s="12" t="n">
        <v>0</v>
      </c>
    </row>
    <row r="220">
      <c r="A220" s="12" t="inlineStr">
        <is>
          <t>3Q25</t>
        </is>
      </c>
      <c r="B220" s="12" t="inlineStr">
        <is>
          <t>retail</t>
        </is>
      </c>
      <c r="C220" s="12" t="n">
        <v>10046</v>
      </c>
    </row>
    <row r="221">
      <c r="A221" s="12" t="inlineStr">
        <is>
          <t>3Q25</t>
        </is>
      </c>
      <c r="B221" s="12" t="inlineStr">
        <is>
          <t>roll_acra_nci</t>
        </is>
      </c>
      <c r="C221" s="12" t="n">
        <v>-5167</v>
      </c>
    </row>
    <row r="222">
      <c r="A222" s="12" t="inlineStr">
        <is>
          <t>3Q25</t>
        </is>
      </c>
      <c r="B222" s="12" t="inlineStr">
        <is>
          <t>roll_acra_own</t>
        </is>
      </c>
      <c r="C222" s="12" t="n">
        <v>0</v>
      </c>
    </row>
    <row r="223">
      <c r="A223" s="12" t="inlineStr">
        <is>
          <t>3Q25</t>
        </is>
      </c>
      <c r="B223" s="12" t="inlineStr">
        <is>
          <t>roll_block</t>
        </is>
      </c>
      <c r="C223" s="12" t="n">
        <v>0</v>
      </c>
    </row>
    <row r="224">
      <c r="A224" s="12" t="inlineStr">
        <is>
          <t>3Q25</t>
        </is>
      </c>
      <c r="B224" s="12" t="inlineStr">
        <is>
          <t>roll_ceded_3p</t>
        </is>
      </c>
      <c r="C224" s="12" t="n">
        <v>-517</v>
      </c>
    </row>
    <row r="225">
      <c r="A225" s="12" t="inlineStr">
        <is>
          <t>3Q25</t>
        </is>
      </c>
      <c r="B225" s="12" t="inlineStr">
        <is>
          <t>roll_gross_inflows</t>
        </is>
      </c>
      <c r="C225" s="12" t="n">
        <v>23379</v>
      </c>
    </row>
    <row r="226">
      <c r="A226" s="12" t="inlineStr">
        <is>
          <t>3Q25</t>
        </is>
      </c>
      <c r="B226" s="12" t="inlineStr">
        <is>
          <t>roll_net_inflows</t>
        </is>
      </c>
      <c r="C226" s="12" t="n">
        <v>17695</v>
      </c>
    </row>
    <row r="227">
      <c r="A227" s="12" t="inlineStr">
        <is>
          <t>3Q25</t>
        </is>
      </c>
      <c r="B227" s="12" t="inlineStr">
        <is>
          <t>roll_net_withdrawals</t>
        </is>
      </c>
      <c r="C227" s="12" t="n">
        <v>-9181</v>
      </c>
    </row>
    <row r="228">
      <c r="A228" s="12" t="inlineStr">
        <is>
          <t>3Q25</t>
        </is>
      </c>
      <c r="B228" s="12" t="inlineStr">
        <is>
          <t>roll_other</t>
        </is>
      </c>
      <c r="C228" s="12" t="n">
        <v>3365</v>
      </c>
    </row>
    <row r="229">
      <c r="A229" s="12" t="inlineStr">
        <is>
          <t>3Q25</t>
        </is>
      </c>
      <c r="B229" s="12" t="inlineStr">
        <is>
          <t>sre</t>
        </is>
      </c>
      <c r="C229" s="12" t="n">
        <v>872</v>
      </c>
    </row>
    <row r="230">
      <c r="A230" s="12" t="inlineStr">
        <is>
          <t>3Q25</t>
        </is>
      </c>
      <c r="B230" s="12" t="inlineStr">
        <is>
          <t>sre_alt_nii</t>
        </is>
      </c>
      <c r="C230" s="12" t="n">
        <v>321</v>
      </c>
    </row>
    <row r="231">
      <c r="A231" s="12" t="inlineStr">
        <is>
          <t>3Q25</t>
        </is>
      </c>
      <c r="B231" s="12" t="inlineStr">
        <is>
          <t>sre_alt_nii_pct</t>
        </is>
      </c>
      <c r="C231" s="12" t="n">
        <v>9.880000000000001</v>
      </c>
    </row>
    <row r="232">
      <c r="A232" s="12" t="inlineStr">
        <is>
          <t>3Q25</t>
        </is>
      </c>
      <c r="B232" s="12" t="inlineStr">
        <is>
          <t>sre_cof</t>
        </is>
      </c>
      <c r="C232" s="12" t="n">
        <v>-2661</v>
      </c>
    </row>
    <row r="233">
      <c r="A233" s="12" t="inlineStr">
        <is>
          <t>3Q25</t>
        </is>
      </c>
      <c r="B233" s="12" t="inlineStr">
        <is>
          <t>sre_cof_pct</t>
        </is>
      </c>
      <c r="C233" s="12" t="n">
        <v>-3.79</v>
      </c>
    </row>
    <row r="234">
      <c r="A234" s="12" t="inlineStr">
        <is>
          <t>3Q25</t>
        </is>
      </c>
      <c r="B234" s="12" t="inlineStr">
        <is>
          <t>sre_fees</t>
        </is>
      </c>
      <c r="C234" s="12" t="n">
        <v>35</v>
      </c>
    </row>
    <row r="235">
      <c r="A235" s="12" t="inlineStr">
        <is>
          <t>3Q25</t>
        </is>
      </c>
      <c r="B235" s="12" t="inlineStr">
        <is>
          <t>sre_fees_pct</t>
        </is>
      </c>
      <c r="C235" s="12" t="n">
        <v>0.05</v>
      </c>
    </row>
    <row r="236">
      <c r="A236" s="12" t="inlineStr">
        <is>
          <t>3Q25</t>
        </is>
      </c>
      <c r="B236" s="12" t="inlineStr">
        <is>
          <t>sre_fi_nii</t>
        </is>
      </c>
      <c r="C236" s="12" t="n">
        <v>3425</v>
      </c>
    </row>
    <row r="237">
      <c r="A237" s="12" t="inlineStr">
        <is>
          <t>3Q25</t>
        </is>
      </c>
      <c r="B237" s="12" t="inlineStr">
        <is>
          <t>sre_fi_nii_pct</t>
        </is>
      </c>
      <c r="C237" s="12" t="n">
        <v>5.12</v>
      </c>
    </row>
    <row r="238">
      <c r="A238" s="12" t="inlineStr">
        <is>
          <t>3Q25</t>
        </is>
      </c>
      <c r="B238" s="12" t="inlineStr">
        <is>
          <t>sre_fin</t>
        </is>
      </c>
      <c r="C238" s="12" t="n">
        <v>-140</v>
      </c>
    </row>
    <row r="239">
      <c r="A239" s="12" t="inlineStr">
        <is>
          <t>3Q25</t>
        </is>
      </c>
      <c r="B239" s="12" t="inlineStr">
        <is>
          <t>sre_fin_pct</t>
        </is>
      </c>
      <c r="C239" s="12" t="n">
        <v>-0.21</v>
      </c>
    </row>
    <row r="240">
      <c r="A240" s="12" t="inlineStr">
        <is>
          <t>3Q25</t>
        </is>
      </c>
      <c r="B240" s="12" t="inlineStr">
        <is>
          <t>sre_nie</t>
        </is>
      </c>
      <c r="C240" s="12" t="n">
        <v>3746</v>
      </c>
    </row>
    <row r="241">
      <c r="A241" s="12" t="inlineStr">
        <is>
          <t>3Q25</t>
        </is>
      </c>
      <c r="B241" s="12" t="inlineStr">
        <is>
          <t>sre_nie_pct</t>
        </is>
      </c>
      <c r="C241" s="12" t="n">
        <v>5.34</v>
      </c>
    </row>
    <row r="242">
      <c r="A242" s="12" t="inlineStr">
        <is>
          <t>3Q25</t>
        </is>
      </c>
      <c r="B242" s="12" t="inlineStr">
        <is>
          <t>sre_nis</t>
        </is>
      </c>
      <c r="C242" s="12" t="n">
        <v>1120</v>
      </c>
    </row>
    <row r="243">
      <c r="A243" s="12" t="inlineStr">
        <is>
          <t>3Q25</t>
        </is>
      </c>
      <c r="B243" s="12" t="inlineStr">
        <is>
          <t>sre_nis_pct</t>
        </is>
      </c>
      <c r="C243" s="12" t="n">
        <v>1.6</v>
      </c>
    </row>
    <row r="244">
      <c r="A244" s="12" t="inlineStr">
        <is>
          <t>3Q25</t>
        </is>
      </c>
      <c r="B244" s="12" t="inlineStr">
        <is>
          <t>sre_opex</t>
        </is>
      </c>
      <c r="C244" s="12" t="n">
        <v>-108</v>
      </c>
    </row>
    <row r="245">
      <c r="A245" s="12" t="inlineStr">
        <is>
          <t>3Q25</t>
        </is>
      </c>
      <c r="B245" s="12" t="inlineStr">
        <is>
          <t>sre_opex_pct</t>
        </is>
      </c>
      <c r="C245" s="12" t="n">
        <v>-0.15</v>
      </c>
    </row>
    <row r="246">
      <c r="A246" s="12" t="inlineStr">
        <is>
          <t>3Q25</t>
        </is>
      </c>
      <c r="B246" s="12" t="inlineStr">
        <is>
          <t>sre_pct</t>
        </is>
      </c>
      <c r="C246" s="12" t="n">
        <v>1.24</v>
      </c>
    </row>
    <row r="247">
      <c r="A247" s="12" t="inlineStr">
        <is>
          <t>3Q25</t>
        </is>
      </c>
      <c r="B247" s="12" t="inlineStr">
        <is>
          <t>total_gross_inflows</t>
        </is>
      </c>
      <c r="C247" s="12" t="n">
        <v>22616</v>
      </c>
    </row>
    <row r="248">
      <c r="A248" s="12" t="inlineStr">
        <is>
          <t>3Q25</t>
        </is>
      </c>
      <c r="B248" s="12" t="inlineStr">
        <is>
          <t>total_gross_inflows_check</t>
        </is>
      </c>
      <c r="C248" s="12" t="n">
        <v>22616</v>
      </c>
    </row>
    <row r="249">
      <c r="A249" s="12" t="inlineStr">
        <is>
          <t>3Q25</t>
        </is>
      </c>
      <c r="B249" s="12" t="inlineStr">
        <is>
          <t>total_gross_outflows_check</t>
        </is>
      </c>
      <c r="C249" s="12" t="n">
        <v>-10638</v>
      </c>
    </row>
    <row r="250">
      <c r="A250" s="12" t="inlineStr">
        <is>
          <t>4Q24</t>
        </is>
      </c>
      <c r="B250" s="12" t="inlineStr">
        <is>
          <t>acra_begin</t>
        </is>
      </c>
      <c r="C250" s="12" t="n">
        <v>68092</v>
      </c>
    </row>
    <row r="251">
      <c r="A251" s="12" t="inlineStr">
        <is>
          <t>4Q24</t>
        </is>
      </c>
      <c r="B251" s="12" t="inlineStr">
        <is>
          <t>acra_end</t>
        </is>
      </c>
      <c r="C251" s="12" t="n">
        <v>72164</v>
      </c>
    </row>
    <row r="252">
      <c r="A252" s="12" t="inlineStr">
        <is>
          <t>4Q24</t>
        </is>
      </c>
      <c r="B252" s="12" t="inlineStr">
        <is>
          <t>acra_inflows</t>
        </is>
      </c>
      <c r="C252" s="12" t="n">
        <v>4418</v>
      </c>
    </row>
    <row r="253">
      <c r="A253" s="12" t="inlineStr">
        <is>
          <t>4Q24</t>
        </is>
      </c>
      <c r="B253" s="12" t="inlineStr">
        <is>
          <t>acra_other</t>
        </is>
      </c>
      <c r="C253" s="12" t="n">
        <v>-681</v>
      </c>
    </row>
    <row r="254">
      <c r="A254" s="12" t="inlineStr">
        <is>
          <t>4Q24</t>
        </is>
      </c>
      <c r="B254" s="12" t="inlineStr">
        <is>
          <t>acra_own</t>
        </is>
      </c>
      <c r="C254" s="12" t="n">
        <v>1774</v>
      </c>
    </row>
    <row r="255">
      <c r="A255" s="12" t="inlineStr">
        <is>
          <t>4Q24</t>
        </is>
      </c>
      <c r="B255" s="12" t="inlineStr">
        <is>
          <t>acra_withdrawals</t>
        </is>
      </c>
      <c r="C255" s="12" t="n">
        <v>-1439</v>
      </c>
    </row>
    <row r="256">
      <c r="A256" s="12" t="inlineStr">
        <is>
          <t>4Q24</t>
        </is>
      </c>
      <c r="B256" s="12" t="inlineStr">
        <is>
          <t>avg_nia</t>
        </is>
      </c>
      <c r="C256" s="12" t="n">
        <v>244796</v>
      </c>
    </row>
    <row r="257">
      <c r="A257" s="12" t="inlineStr">
        <is>
          <t>4Q24</t>
        </is>
      </c>
      <c r="B257" s="12" t="inlineStr">
        <is>
          <t>avg_nia_alt</t>
        </is>
      </c>
      <c r="C257" s="12" t="n">
        <v>11643</v>
      </c>
    </row>
    <row r="258">
      <c r="A258" s="12" t="inlineStr">
        <is>
          <t>4Q24</t>
        </is>
      </c>
      <c r="B258" s="12" t="inlineStr">
        <is>
          <t>avg_nia_fi</t>
        </is>
      </c>
      <c r="C258" s="12" t="n">
        <v>233153</v>
      </c>
    </row>
    <row r="259">
      <c r="A259" s="12" t="inlineStr">
        <is>
          <t>4Q24</t>
        </is>
      </c>
      <c r="B259" s="12" t="inlineStr">
        <is>
          <t>core_outflows</t>
        </is>
      </c>
      <c r="C259" s="12" t="n">
        <v>-5697</v>
      </c>
    </row>
    <row r="260">
      <c r="A260" s="12" t="inlineStr">
        <is>
          <t>4Q24</t>
        </is>
      </c>
      <c r="B260" s="12" t="inlineStr">
        <is>
          <t>flow_reins</t>
        </is>
      </c>
      <c r="C260" s="12" t="n">
        <v>1029</v>
      </c>
    </row>
    <row r="261">
      <c r="A261" s="12" t="inlineStr">
        <is>
          <t>4Q24</t>
        </is>
      </c>
      <c r="B261" s="12" t="inlineStr">
        <is>
          <t>funding_agreements</t>
        </is>
      </c>
      <c r="C261" s="12" t="n">
        <v>5167</v>
      </c>
    </row>
    <row r="262">
      <c r="A262" s="12" t="inlineStr">
        <is>
          <t>4Q24</t>
        </is>
      </c>
      <c r="B262" s="12" t="inlineStr">
        <is>
          <t>gross_inorganic</t>
        </is>
      </c>
      <c r="C262" s="12" t="n">
        <v>0</v>
      </c>
    </row>
    <row r="263">
      <c r="A263" s="12" t="inlineStr">
        <is>
          <t>4Q24</t>
        </is>
      </c>
      <c r="B263" s="12" t="inlineStr">
        <is>
          <t>gross_organic</t>
        </is>
      </c>
      <c r="C263" s="12" t="n">
        <v>14197</v>
      </c>
    </row>
    <row r="264">
      <c r="A264" s="12" t="inlineStr">
        <is>
          <t>4Q24</t>
        </is>
      </c>
      <c r="B264" s="12" t="inlineStr">
        <is>
          <t>gross_outflows</t>
        </is>
      </c>
      <c r="C264" s="12" t="n">
        <v>-7136</v>
      </c>
    </row>
    <row r="265">
      <c r="A265" s="12" t="inlineStr">
        <is>
          <t>4Q24</t>
        </is>
      </c>
      <c r="B265" s="12" t="inlineStr">
        <is>
          <t>inflows_adip</t>
        </is>
      </c>
      <c r="C265" s="12" t="n">
        <v>4343</v>
      </c>
    </row>
    <row r="266">
      <c r="A266" s="12" t="inlineStr">
        <is>
          <t>4Q24</t>
        </is>
      </c>
      <c r="B266" s="12" t="inlineStr">
        <is>
          <t>inflows_athene</t>
        </is>
      </c>
      <c r="C266" s="12" t="n">
        <v>8948</v>
      </c>
    </row>
    <row r="267">
      <c r="A267" s="12" t="inlineStr">
        <is>
          <t>4Q24</t>
        </is>
      </c>
      <c r="B267" s="12" t="inlineStr">
        <is>
          <t>inflows_ceded_3p</t>
        </is>
      </c>
      <c r="C267" s="12" t="n">
        <v>906</v>
      </c>
    </row>
    <row r="268">
      <c r="A268" s="12" t="inlineStr">
        <is>
          <t>4Q24</t>
        </is>
      </c>
      <c r="B268" s="12" t="inlineStr">
        <is>
          <t>net_flows</t>
        </is>
      </c>
      <c r="C268" s="12" t="n">
        <v>7061</v>
      </c>
    </row>
    <row r="269">
      <c r="A269" s="12" t="inlineStr">
        <is>
          <t>4Q24</t>
        </is>
      </c>
      <c r="B269" s="12" t="inlineStr">
        <is>
          <t>nrl_begin</t>
        </is>
      </c>
      <c r="C269" s="12" t="n">
        <v>225899</v>
      </c>
    </row>
    <row r="270">
      <c r="A270" s="12" t="inlineStr">
        <is>
          <t>4Q24</t>
        </is>
      </c>
      <c r="B270" s="12" t="inlineStr">
        <is>
          <t>nrl_deferred_total</t>
        </is>
      </c>
      <c r="C270" s="12" t="n">
        <v>145416</v>
      </c>
    </row>
    <row r="271">
      <c r="A271" s="12" t="inlineStr">
        <is>
          <t>4Q24</t>
        </is>
      </c>
      <c r="B271" s="12" t="inlineStr">
        <is>
          <t>nrl_end</t>
        </is>
      </c>
      <c r="C271" s="12" t="n">
        <v>225926</v>
      </c>
    </row>
    <row r="272">
      <c r="A272" s="12" t="inlineStr">
        <is>
          <t>4Q24</t>
        </is>
      </c>
      <c r="B272" s="12" t="inlineStr">
        <is>
          <t>nrl_fa</t>
        </is>
      </c>
      <c r="C272" s="12" t="n">
        <v>47384</v>
      </c>
    </row>
    <row r="273">
      <c r="A273" s="12" t="inlineStr">
        <is>
          <t>4Q24</t>
        </is>
      </c>
      <c r="B273" s="12" t="inlineStr">
        <is>
          <t>nrl_fixed</t>
        </is>
      </c>
      <c r="C273" s="12" t="n">
        <v>62705</v>
      </c>
    </row>
    <row r="274">
      <c r="A274" s="12" t="inlineStr">
        <is>
          <t>4Q24</t>
        </is>
      </c>
      <c r="B274" s="12" t="inlineStr">
        <is>
          <t>nrl_indexed</t>
        </is>
      </c>
      <c r="C274" s="12" t="n">
        <v>82711</v>
      </c>
    </row>
    <row r="275">
      <c r="A275" s="12" t="inlineStr">
        <is>
          <t>4Q24</t>
        </is>
      </c>
      <c r="B275" s="12" t="inlineStr">
        <is>
          <t>nrl_life_other</t>
        </is>
      </c>
      <c r="C275" s="12" t="n">
        <v>3439</v>
      </c>
    </row>
    <row r="276">
      <c r="A276" s="12" t="inlineStr">
        <is>
          <t>4Q24</t>
        </is>
      </c>
      <c r="B276" s="12" t="inlineStr">
        <is>
          <t>nrl_payout</t>
        </is>
      </c>
      <c r="C276" s="12" t="n">
        <v>4701</v>
      </c>
    </row>
    <row r="277">
      <c r="A277" s="12" t="inlineStr">
        <is>
          <t>4Q24</t>
        </is>
      </c>
      <c r="B277" s="12" t="inlineStr">
        <is>
          <t>nrl_pga</t>
        </is>
      </c>
      <c r="C277" s="12" t="n">
        <v>24986</v>
      </c>
    </row>
    <row r="278">
      <c r="A278" s="12" t="inlineStr">
        <is>
          <t>4Q24</t>
        </is>
      </c>
      <c r="B278" s="12" t="inlineStr">
        <is>
          <t>nrl_total</t>
        </is>
      </c>
      <c r="C278" s="12" t="n">
        <v>225926</v>
      </c>
    </row>
    <row r="279">
      <c r="A279" s="12" t="inlineStr">
        <is>
          <t>4Q24</t>
        </is>
      </c>
      <c r="B279" s="12" t="inlineStr">
        <is>
          <t>other_spread</t>
        </is>
      </c>
      <c r="C279" s="12" t="n">
        <v>0</v>
      </c>
    </row>
    <row r="280">
      <c r="A280" s="12" t="inlineStr">
        <is>
          <t>4Q24</t>
        </is>
      </c>
      <c r="B280" s="12" t="inlineStr">
        <is>
          <t>outflow_income_planned</t>
        </is>
      </c>
      <c r="C280" s="12" t="n">
        <v>-1661</v>
      </c>
    </row>
    <row r="281">
      <c r="A281" s="12" t="inlineStr">
        <is>
          <t>4Q24</t>
        </is>
      </c>
      <c r="B281" s="12" t="inlineStr">
        <is>
          <t>outflow_isc_unplanned</t>
        </is>
      </c>
      <c r="C281" s="12" t="n">
        <v>-738</v>
      </c>
    </row>
    <row r="282">
      <c r="A282" s="12" t="inlineStr">
        <is>
          <t>4Q24</t>
        </is>
      </c>
      <c r="B282" s="12" t="inlineStr">
        <is>
          <t>outflow_maturity_driven</t>
        </is>
      </c>
      <c r="C282" s="12" t="n">
        <v>-2167</v>
      </c>
    </row>
    <row r="283">
      <c r="A283" s="12" t="inlineStr">
        <is>
          <t>4Q24</t>
        </is>
      </c>
      <c r="B283" s="12" t="inlineStr">
        <is>
          <t>outflow_oosc_planned</t>
        </is>
      </c>
      <c r="C283" s="12" t="n">
        <v>-1131</v>
      </c>
    </row>
    <row r="284">
      <c r="A284" s="12" t="inlineStr">
        <is>
          <t>4Q24</t>
        </is>
      </c>
      <c r="B284" s="12" t="inlineStr">
        <is>
          <t>outflow_policyholder</t>
        </is>
      </c>
      <c r="C284" s="12" t="n">
        <v>-3530</v>
      </c>
    </row>
    <row r="285">
      <c r="A285" s="12" t="inlineStr">
        <is>
          <t>4Q24</t>
        </is>
      </c>
      <c r="B285" s="12" t="inlineStr">
        <is>
          <t>outflows_adip</t>
        </is>
      </c>
      <c r="C285" s="12" t="n">
        <v>-1439</v>
      </c>
    </row>
    <row r="286">
      <c r="A286" s="12" t="inlineStr">
        <is>
          <t>4Q24</t>
        </is>
      </c>
      <c r="B286" s="12" t="inlineStr">
        <is>
          <t>outflows_athene</t>
        </is>
      </c>
      <c r="C286" s="12" t="n">
        <v>-5697</v>
      </c>
    </row>
    <row r="287">
      <c r="A287" s="12" t="inlineStr">
        <is>
          <t>4Q24</t>
        </is>
      </c>
      <c r="B287" s="12" t="inlineStr">
        <is>
          <t>pga</t>
        </is>
      </c>
      <c r="C287" s="12" t="n">
        <v>47</v>
      </c>
    </row>
    <row r="288">
      <c r="A288" s="12" t="inlineStr">
        <is>
          <t>4Q24</t>
        </is>
      </c>
      <c r="B288" s="12" t="inlineStr">
        <is>
          <t>retail</t>
        </is>
      </c>
      <c r="C288" s="12" t="n">
        <v>7954</v>
      </c>
    </row>
    <row r="289">
      <c r="A289" s="12" t="inlineStr">
        <is>
          <t>4Q24</t>
        </is>
      </c>
      <c r="B289" s="12" t="inlineStr">
        <is>
          <t>roll_acra_nci</t>
        </is>
      </c>
      <c r="C289" s="12" t="n">
        <v>-4418</v>
      </c>
    </row>
    <row r="290">
      <c r="A290" s="12" t="inlineStr">
        <is>
          <t>4Q24</t>
        </is>
      </c>
      <c r="B290" s="12" t="inlineStr">
        <is>
          <t>roll_acra_own</t>
        </is>
      </c>
      <c r="C290" s="12" t="n">
        <v>-1774</v>
      </c>
    </row>
    <row r="291">
      <c r="A291" s="12" t="inlineStr">
        <is>
          <t>4Q24</t>
        </is>
      </c>
      <c r="B291" s="12" t="inlineStr">
        <is>
          <t>roll_block</t>
        </is>
      </c>
      <c r="C291" s="12" t="n">
        <v>0</v>
      </c>
    </row>
    <row r="292">
      <c r="A292" s="12" t="inlineStr">
        <is>
          <t>4Q24</t>
        </is>
      </c>
      <c r="B292" s="12" t="inlineStr">
        <is>
          <t>roll_ceded_3p</t>
        </is>
      </c>
      <c r="C292" s="12" t="n">
        <v>-921</v>
      </c>
    </row>
    <row r="293">
      <c r="A293" s="12" t="inlineStr">
        <is>
          <t>4Q24</t>
        </is>
      </c>
      <c r="B293" s="12" t="inlineStr">
        <is>
          <t>roll_gross_inflows</t>
        </is>
      </c>
      <c r="C293" s="12" t="n">
        <v>14465</v>
      </c>
    </row>
    <row r="294">
      <c r="A294" s="12" t="inlineStr">
        <is>
          <t>4Q24</t>
        </is>
      </c>
      <c r="B294" s="12" t="inlineStr">
        <is>
          <t>roll_net_inflows</t>
        </is>
      </c>
      <c r="C294" s="12" t="n">
        <v>9126</v>
      </c>
    </row>
    <row r="295">
      <c r="A295" s="12" t="inlineStr">
        <is>
          <t>4Q24</t>
        </is>
      </c>
      <c r="B295" s="12" t="inlineStr">
        <is>
          <t>roll_net_withdrawals</t>
        </is>
      </c>
      <c r="C295" s="12" t="n">
        <v>-5697</v>
      </c>
    </row>
    <row r="296">
      <c r="A296" s="12" t="inlineStr">
        <is>
          <t>4Q24</t>
        </is>
      </c>
      <c r="B296" s="12" t="inlineStr">
        <is>
          <t>roll_other</t>
        </is>
      </c>
      <c r="C296" s="12" t="n">
        <v>-1628</v>
      </c>
    </row>
    <row r="297">
      <c r="A297" s="12" t="inlineStr">
        <is>
          <t>4Q24</t>
        </is>
      </c>
      <c r="B297" s="12" t="inlineStr">
        <is>
          <t>sre</t>
        </is>
      </c>
      <c r="C297" s="12" t="n">
        <v>838</v>
      </c>
    </row>
    <row r="298">
      <c r="A298" s="12" t="inlineStr">
        <is>
          <t>4Q24</t>
        </is>
      </c>
      <c r="B298" s="12" t="inlineStr">
        <is>
          <t>sre_alt_nii</t>
        </is>
      </c>
      <c r="C298" s="12" t="n">
        <v>269</v>
      </c>
    </row>
    <row r="299">
      <c r="A299" s="12" t="inlineStr">
        <is>
          <t>4Q24</t>
        </is>
      </c>
      <c r="B299" s="12" t="inlineStr">
        <is>
          <t>sre_alt_nii_pct</t>
        </is>
      </c>
      <c r="C299" s="12" t="n">
        <v>9.25</v>
      </c>
    </row>
    <row r="300">
      <c r="A300" s="12" t="inlineStr">
        <is>
          <t>4Q24</t>
        </is>
      </c>
      <c r="B300" s="12" t="inlineStr">
        <is>
          <t>sre_cof</t>
        </is>
      </c>
      <c r="C300" s="12" t="n">
        <v>-2116</v>
      </c>
    </row>
    <row r="301">
      <c r="A301" s="12" t="inlineStr">
        <is>
          <t>4Q24</t>
        </is>
      </c>
      <c r="B301" s="12" t="inlineStr">
        <is>
          <t>sre_cof_pct</t>
        </is>
      </c>
      <c r="C301" s="12" t="n">
        <v>-3.46</v>
      </c>
    </row>
    <row r="302">
      <c r="A302" s="12" t="inlineStr">
        <is>
          <t>4Q24</t>
        </is>
      </c>
      <c r="B302" s="12" t="inlineStr">
        <is>
          <t>sre_fees</t>
        </is>
      </c>
      <c r="C302" s="12" t="n">
        <v>29</v>
      </c>
    </row>
    <row r="303">
      <c r="A303" s="12" t="inlineStr">
        <is>
          <t>4Q24</t>
        </is>
      </c>
      <c r="B303" s="12" t="inlineStr">
        <is>
          <t>sre_fees_pct</t>
        </is>
      </c>
      <c r="C303" s="12" t="n">
        <v>0.05</v>
      </c>
    </row>
    <row r="304">
      <c r="A304" s="12" t="inlineStr">
        <is>
          <t>4Q24</t>
        </is>
      </c>
      <c r="B304" s="12" t="inlineStr">
        <is>
          <t>sre_fi_nii</t>
        </is>
      </c>
      <c r="C304" s="12" t="n">
        <v>2914</v>
      </c>
    </row>
    <row r="305">
      <c r="A305" s="12" t="inlineStr">
        <is>
          <t>4Q24</t>
        </is>
      </c>
      <c r="B305" s="12" t="inlineStr">
        <is>
          <t>sre_fi_nii_pct</t>
        </is>
      </c>
      <c r="C305" s="12" t="n">
        <v>5</v>
      </c>
    </row>
    <row r="306">
      <c r="A306" s="12" t="inlineStr">
        <is>
          <t>4Q24</t>
        </is>
      </c>
      <c r="B306" s="12" t="inlineStr">
        <is>
          <t>sre_fin</t>
        </is>
      </c>
      <c r="C306" s="12" t="n">
        <v>-137</v>
      </c>
    </row>
    <row r="307">
      <c r="A307" s="12" t="inlineStr">
        <is>
          <t>4Q24</t>
        </is>
      </c>
      <c r="B307" s="12" t="inlineStr">
        <is>
          <t>sre_fin_pct</t>
        </is>
      </c>
      <c r="C307" s="12" t="n">
        <v>-0.22</v>
      </c>
    </row>
    <row r="308">
      <c r="A308" s="12" t="inlineStr">
        <is>
          <t>4Q24</t>
        </is>
      </c>
      <c r="B308" s="12" t="inlineStr">
        <is>
          <t>sre_nie</t>
        </is>
      </c>
      <c r="C308" s="12" t="n">
        <v>3183</v>
      </c>
    </row>
    <row r="309">
      <c r="A309" s="12" t="inlineStr">
        <is>
          <t>4Q24</t>
        </is>
      </c>
      <c r="B309" s="12" t="inlineStr">
        <is>
          <t>sre_nie_pct</t>
        </is>
      </c>
      <c r="C309" s="12" t="n">
        <v>5.2</v>
      </c>
    </row>
    <row r="310">
      <c r="A310" s="12" t="inlineStr">
        <is>
          <t>4Q24</t>
        </is>
      </c>
      <c r="B310" s="12" t="inlineStr">
        <is>
          <t>sre_nis</t>
        </is>
      </c>
      <c r="C310" s="12" t="n">
        <v>1096</v>
      </c>
    </row>
    <row r="311">
      <c r="A311" s="12" t="inlineStr">
        <is>
          <t>4Q24</t>
        </is>
      </c>
      <c r="B311" s="12" t="inlineStr">
        <is>
          <t>sre_nis_pct</t>
        </is>
      </c>
      <c r="C311" s="12" t="n">
        <v>1.79</v>
      </c>
    </row>
    <row r="312">
      <c r="A312" s="12" t="inlineStr">
        <is>
          <t>4Q24</t>
        </is>
      </c>
      <c r="B312" s="12" t="inlineStr">
        <is>
          <t>sre_opex</t>
        </is>
      </c>
      <c r="C312" s="12" t="n">
        <v>-121</v>
      </c>
    </row>
    <row r="313">
      <c r="A313" s="12" t="inlineStr">
        <is>
          <t>4Q24</t>
        </is>
      </c>
      <c r="B313" s="12" t="inlineStr">
        <is>
          <t>sre_opex_pct</t>
        </is>
      </c>
      <c r="C313" s="12" t="n">
        <v>-0.2</v>
      </c>
    </row>
    <row r="314">
      <c r="A314" s="12" t="inlineStr">
        <is>
          <t>4Q24</t>
        </is>
      </c>
      <c r="B314" s="12" t="inlineStr">
        <is>
          <t>sre_pct</t>
        </is>
      </c>
      <c r="C314" s="12" t="n">
        <v>1.37</v>
      </c>
    </row>
    <row r="315">
      <c r="A315" s="12" t="inlineStr">
        <is>
          <t>4Q24</t>
        </is>
      </c>
      <c r="B315" s="12" t="inlineStr">
        <is>
          <t>total_gross_inflows</t>
        </is>
      </c>
      <c r="C315" s="12" t="n">
        <v>14197</v>
      </c>
    </row>
    <row r="316">
      <c r="A316" s="12" t="inlineStr">
        <is>
          <t>4Q24</t>
        </is>
      </c>
      <c r="B316" s="12" t="inlineStr">
        <is>
          <t>total_gross_inflows_check</t>
        </is>
      </c>
      <c r="C316" s="12" t="n">
        <v>14197</v>
      </c>
    </row>
    <row r="317">
      <c r="A317" s="12" t="inlineStr">
        <is>
          <t>4Q24</t>
        </is>
      </c>
      <c r="B317" s="12" t="inlineStr">
        <is>
          <t>total_gross_outflows_check</t>
        </is>
      </c>
      <c r="C317" s="12" t="n">
        <v>-7136</v>
      </c>
    </row>
    <row r="318">
      <c r="A318" s="12" t="inlineStr">
        <is>
          <t>4Q25</t>
        </is>
      </c>
      <c r="B318" s="12" t="inlineStr">
        <is>
          <t>acra_begin</t>
        </is>
      </c>
      <c r="C318" s="12" t="n">
        <v>86826</v>
      </c>
    </row>
    <row r="319">
      <c r="A319" s="12" t="inlineStr">
        <is>
          <t>4Q25</t>
        </is>
      </c>
      <c r="B319" s="12" t="inlineStr">
        <is>
          <t>acra_end</t>
        </is>
      </c>
      <c r="C319" s="12" t="n">
        <v>89725</v>
      </c>
    </row>
    <row r="320">
      <c r="A320" s="12" t="inlineStr">
        <is>
          <t>4Q25</t>
        </is>
      </c>
      <c r="B320" s="12" t="inlineStr">
        <is>
          <t>acra_inflows</t>
        </is>
      </c>
      <c r="C320" s="12" t="n">
        <v>3723</v>
      </c>
    </row>
    <row r="321">
      <c r="A321" s="12" t="inlineStr">
        <is>
          <t>4Q25</t>
        </is>
      </c>
      <c r="B321" s="12" t="inlineStr">
        <is>
          <t>acra_other</t>
        </is>
      </c>
      <c r="C321" s="12" t="n">
        <v>730</v>
      </c>
    </row>
    <row r="322">
      <c r="A322" s="12" t="inlineStr">
        <is>
          <t>4Q25</t>
        </is>
      </c>
      <c r="B322" s="12" t="inlineStr">
        <is>
          <t>acra_own</t>
        </is>
      </c>
      <c r="C322" s="12" t="n">
        <v>0</v>
      </c>
    </row>
    <row r="323">
      <c r="A323" s="12" t="inlineStr">
        <is>
          <t>4Q25</t>
        </is>
      </c>
      <c r="B323" s="12" t="inlineStr">
        <is>
          <t>acra_withdrawals</t>
        </is>
      </c>
      <c r="C323" s="12" t="n">
        <v>-1554</v>
      </c>
    </row>
    <row r="324">
      <c r="A324" s="12" t="inlineStr">
        <is>
          <t>4Q25</t>
        </is>
      </c>
      <c r="B324" s="12" t="inlineStr">
        <is>
          <t>avg_nia</t>
        </is>
      </c>
      <c r="C324" s="12" t="n">
        <v>289295</v>
      </c>
    </row>
    <row r="325">
      <c r="A325" s="12" t="inlineStr">
        <is>
          <t>4Q25</t>
        </is>
      </c>
      <c r="B325" s="12" t="inlineStr">
        <is>
          <t>avg_nia_alt</t>
        </is>
      </c>
      <c r="C325" s="12" t="n">
        <v>13526</v>
      </c>
    </row>
    <row r="326">
      <c r="A326" s="12" t="inlineStr">
        <is>
          <t>4Q25</t>
        </is>
      </c>
      <c r="B326" s="12" t="inlineStr">
        <is>
          <t>avg_nia_fi</t>
        </is>
      </c>
      <c r="C326" s="12" t="n">
        <v>275769</v>
      </c>
    </row>
    <row r="327">
      <c r="A327" s="12" t="inlineStr">
        <is>
          <t>4Q25</t>
        </is>
      </c>
      <c r="B327" s="12" t="inlineStr">
        <is>
          <t>core_outflows</t>
        </is>
      </c>
      <c r="C327" s="12" t="n">
        <v>-7714</v>
      </c>
    </row>
    <row r="328">
      <c r="A328" s="12" t="inlineStr">
        <is>
          <t>4Q25</t>
        </is>
      </c>
      <c r="B328" s="12" t="inlineStr">
        <is>
          <t>flow_reins</t>
        </is>
      </c>
      <c r="C328" s="12" t="n">
        <v>1665</v>
      </c>
    </row>
    <row r="329">
      <c r="A329" s="12" t="inlineStr">
        <is>
          <t>4Q25</t>
        </is>
      </c>
      <c r="B329" s="12" t="inlineStr">
        <is>
          <t>funding_agreements</t>
        </is>
      </c>
      <c r="C329" s="12" t="n">
        <v>2800</v>
      </c>
    </row>
    <row r="330">
      <c r="A330" s="12" t="inlineStr">
        <is>
          <t>4Q25</t>
        </is>
      </c>
      <c r="B330" s="12" t="inlineStr">
        <is>
          <t>gross_inorganic</t>
        </is>
      </c>
      <c r="C330" s="12" t="n">
        <v>1340</v>
      </c>
    </row>
    <row r="331">
      <c r="A331" s="12" t="inlineStr">
        <is>
          <t>4Q25</t>
        </is>
      </c>
      <c r="B331" s="12" t="inlineStr">
        <is>
          <t>gross_organic</t>
        </is>
      </c>
      <c r="C331" s="12" t="n">
        <v>12687</v>
      </c>
    </row>
    <row r="332">
      <c r="A332" s="12" t="inlineStr">
        <is>
          <t>4Q25</t>
        </is>
      </c>
      <c r="B332" s="12" t="inlineStr">
        <is>
          <t>gross_outflows</t>
        </is>
      </c>
      <c r="C332" s="12" t="n">
        <v>-9268</v>
      </c>
    </row>
    <row r="333">
      <c r="A333" s="12" t="inlineStr">
        <is>
          <t>4Q25</t>
        </is>
      </c>
      <c r="B333" s="12" t="inlineStr">
        <is>
          <t>inflows_adip</t>
        </is>
      </c>
      <c r="C333" s="12" t="n">
        <v>3515</v>
      </c>
    </row>
    <row r="334">
      <c r="A334" s="12" t="inlineStr">
        <is>
          <t>4Q25</t>
        </is>
      </c>
      <c r="B334" s="12" t="inlineStr">
        <is>
          <t>inflows_athene</t>
        </is>
      </c>
      <c r="C334" s="12" t="n">
        <v>10142</v>
      </c>
    </row>
    <row r="335">
      <c r="A335" s="12" t="inlineStr">
        <is>
          <t>4Q25</t>
        </is>
      </c>
      <c r="B335" s="12" t="inlineStr">
        <is>
          <t>inflows_ceded_3p</t>
        </is>
      </c>
      <c r="C335" s="12" t="n">
        <v>370</v>
      </c>
    </row>
    <row r="336">
      <c r="A336" s="12" t="inlineStr">
        <is>
          <t>4Q25</t>
        </is>
      </c>
      <c r="B336" s="12" t="inlineStr">
        <is>
          <t>net_flows</t>
        </is>
      </c>
      <c r="C336" s="12" t="n">
        <v>4759</v>
      </c>
    </row>
    <row r="337">
      <c r="A337" s="12" t="inlineStr">
        <is>
          <t>4Q25</t>
        </is>
      </c>
      <c r="B337" s="12" t="inlineStr">
        <is>
          <t>nrl_begin</t>
        </is>
      </c>
      <c r="C337" s="12" t="n">
        <v>266451</v>
      </c>
    </row>
    <row r="338">
      <c r="A338" s="12" t="inlineStr">
        <is>
          <t>4Q25</t>
        </is>
      </c>
      <c r="B338" s="12" t="inlineStr">
        <is>
          <t>nrl_deferred_total</t>
        </is>
      </c>
      <c r="C338" s="12" t="n">
        <v>165096</v>
      </c>
    </row>
    <row r="339">
      <c r="A339" s="12" t="inlineStr">
        <is>
          <t>4Q25</t>
        </is>
      </c>
      <c r="B339" s="12" t="inlineStr">
        <is>
          <t>nrl_end</t>
        </is>
      </c>
      <c r="C339" s="12" t="n">
        <v>271233</v>
      </c>
    </row>
    <row r="340">
      <c r="A340" s="12" t="inlineStr">
        <is>
          <t>4Q25</t>
        </is>
      </c>
      <c r="B340" s="12" t="inlineStr">
        <is>
          <t>nrl_fa</t>
        </is>
      </c>
      <c r="C340" s="12" t="n">
        <v>71433</v>
      </c>
    </row>
    <row r="341">
      <c r="A341" s="12" t="inlineStr">
        <is>
          <t>4Q25</t>
        </is>
      </c>
      <c r="B341" s="12" t="inlineStr">
        <is>
          <t>nrl_fixed</t>
        </is>
      </c>
      <c r="C341" s="12" t="n">
        <v>77774</v>
      </c>
    </row>
    <row r="342">
      <c r="A342" s="12" t="inlineStr">
        <is>
          <t>4Q25</t>
        </is>
      </c>
      <c r="B342" s="12" t="inlineStr">
        <is>
          <t>nrl_indexed</t>
        </is>
      </c>
      <c r="C342" s="12" t="n">
        <v>87322</v>
      </c>
    </row>
    <row r="343">
      <c r="A343" s="12" t="inlineStr">
        <is>
          <t>4Q25</t>
        </is>
      </c>
      <c r="B343" s="12" t="inlineStr">
        <is>
          <t>nrl_life_other</t>
        </is>
      </c>
      <c r="C343" s="12" t="n">
        <v>4550</v>
      </c>
    </row>
    <row r="344">
      <c r="A344" s="12" t="inlineStr">
        <is>
          <t>4Q25</t>
        </is>
      </c>
      <c r="B344" s="12" t="inlineStr">
        <is>
          <t>nrl_payout</t>
        </is>
      </c>
      <c r="C344" s="12" t="n">
        <v>5066</v>
      </c>
    </row>
    <row r="345">
      <c r="A345" s="12" t="inlineStr">
        <is>
          <t>4Q25</t>
        </is>
      </c>
      <c r="B345" s="12" t="inlineStr">
        <is>
          <t>nrl_pga</t>
        </is>
      </c>
      <c r="C345" s="12" t="n">
        <v>25088</v>
      </c>
    </row>
    <row r="346">
      <c r="A346" s="12" t="inlineStr">
        <is>
          <t>4Q25</t>
        </is>
      </c>
      <c r="B346" s="12" t="inlineStr">
        <is>
          <t>nrl_total</t>
        </is>
      </c>
      <c r="C346" s="12" t="n">
        <v>271233</v>
      </c>
    </row>
    <row r="347">
      <c r="A347" s="12" t="inlineStr">
        <is>
          <t>4Q25</t>
        </is>
      </c>
      <c r="B347" s="12" t="inlineStr">
        <is>
          <t>other_spread</t>
        </is>
      </c>
      <c r="C347" s="12" t="n">
        <v>133</v>
      </c>
    </row>
    <row r="348">
      <c r="A348" s="12" t="inlineStr">
        <is>
          <t>4Q25</t>
        </is>
      </c>
      <c r="B348" s="12" t="inlineStr">
        <is>
          <t>outflow_income_planned</t>
        </is>
      </c>
      <c r="C348" s="12" t="n">
        <v>-1922</v>
      </c>
    </row>
    <row r="349">
      <c r="A349" s="12" t="inlineStr">
        <is>
          <t>4Q25</t>
        </is>
      </c>
      <c r="B349" s="12" t="inlineStr">
        <is>
          <t>outflow_isc_unplanned</t>
        </is>
      </c>
      <c r="C349" s="12" t="n">
        <v>-953</v>
      </c>
    </row>
    <row r="350">
      <c r="A350" s="12" t="inlineStr">
        <is>
          <t>4Q25</t>
        </is>
      </c>
      <c r="B350" s="12" t="inlineStr">
        <is>
          <t>outflow_maturity_driven</t>
        </is>
      </c>
      <c r="C350" s="12" t="n">
        <v>-3641</v>
      </c>
    </row>
    <row r="351">
      <c r="A351" s="12" t="inlineStr">
        <is>
          <t>4Q25</t>
        </is>
      </c>
      <c r="B351" s="12" t="inlineStr">
        <is>
          <t>outflow_oosc_planned</t>
        </is>
      </c>
      <c r="C351" s="12" t="n">
        <v>-1198</v>
      </c>
    </row>
    <row r="352">
      <c r="A352" s="12" t="inlineStr">
        <is>
          <t>4Q25</t>
        </is>
      </c>
      <c r="B352" s="12" t="inlineStr">
        <is>
          <t>outflow_policyholder</t>
        </is>
      </c>
      <c r="C352" s="12" t="n">
        <v>-4073</v>
      </c>
    </row>
    <row r="353">
      <c r="A353" s="12" t="inlineStr">
        <is>
          <t>4Q25</t>
        </is>
      </c>
      <c r="B353" s="12" t="inlineStr">
        <is>
          <t>outflows_adip</t>
        </is>
      </c>
      <c r="C353" s="12" t="n">
        <v>-1554</v>
      </c>
    </row>
    <row r="354">
      <c r="A354" s="12" t="inlineStr">
        <is>
          <t>4Q25</t>
        </is>
      </c>
      <c r="B354" s="12" t="inlineStr">
        <is>
          <t>outflows_athene</t>
        </is>
      </c>
      <c r="C354" s="12" t="n">
        <v>-7714</v>
      </c>
    </row>
    <row r="355">
      <c r="A355" s="12" t="inlineStr">
        <is>
          <t>4Q25</t>
        </is>
      </c>
      <c r="B355" s="12" t="inlineStr">
        <is>
          <t>pga</t>
        </is>
      </c>
      <c r="C355" s="12" t="n">
        <v>746</v>
      </c>
    </row>
    <row r="356">
      <c r="A356" s="12" t="inlineStr">
        <is>
          <t>4Q25</t>
        </is>
      </c>
      <c r="B356" s="12" t="inlineStr">
        <is>
          <t>retail</t>
        </is>
      </c>
      <c r="C356" s="12" t="n">
        <v>7343</v>
      </c>
    </row>
    <row r="357">
      <c r="A357" s="12" t="inlineStr">
        <is>
          <t>4Q25</t>
        </is>
      </c>
      <c r="B357" s="12" t="inlineStr">
        <is>
          <t>roll_acra_nci</t>
        </is>
      </c>
      <c r="C357" s="12" t="n">
        <v>-3723</v>
      </c>
    </row>
    <row r="358">
      <c r="A358" s="12" t="inlineStr">
        <is>
          <t>4Q25</t>
        </is>
      </c>
      <c r="B358" s="12" t="inlineStr">
        <is>
          <t>roll_acra_own</t>
        </is>
      </c>
      <c r="C358" s="12" t="n">
        <v>0</v>
      </c>
    </row>
    <row r="359">
      <c r="A359" s="12" t="inlineStr">
        <is>
          <t>4Q25</t>
        </is>
      </c>
      <c r="B359" s="12" t="inlineStr">
        <is>
          <t>roll_block</t>
        </is>
      </c>
      <c r="C359" s="12" t="n">
        <v>1340</v>
      </c>
    </row>
    <row r="360">
      <c r="A360" s="12" t="inlineStr">
        <is>
          <t>4Q25</t>
        </is>
      </c>
      <c r="B360" s="12" t="inlineStr">
        <is>
          <t>roll_ceded_3p</t>
        </is>
      </c>
      <c r="C360" s="12" t="n">
        <v>-370</v>
      </c>
    </row>
    <row r="361">
      <c r="A361" s="12" t="inlineStr">
        <is>
          <t>4Q25</t>
        </is>
      </c>
      <c r="B361" s="12" t="inlineStr">
        <is>
          <t>roll_gross_inflows</t>
        </is>
      </c>
      <c r="C361" s="12" t="n">
        <v>13318</v>
      </c>
    </row>
    <row r="362">
      <c r="A362" s="12" t="inlineStr">
        <is>
          <t>4Q25</t>
        </is>
      </c>
      <c r="B362" s="12" t="inlineStr">
        <is>
          <t>roll_net_inflows</t>
        </is>
      </c>
      <c r="C362" s="12" t="n">
        <v>10565</v>
      </c>
    </row>
    <row r="363">
      <c r="A363" s="12" t="inlineStr">
        <is>
          <t>4Q25</t>
        </is>
      </c>
      <c r="B363" s="12" t="inlineStr">
        <is>
          <t>roll_net_withdrawals</t>
        </is>
      </c>
      <c r="C363" s="12" t="n">
        <v>-7714</v>
      </c>
    </row>
    <row r="364">
      <c r="A364" s="12" t="inlineStr">
        <is>
          <t>4Q25</t>
        </is>
      </c>
      <c r="B364" s="12" t="inlineStr">
        <is>
          <t>roll_other</t>
        </is>
      </c>
      <c r="C364" s="12" t="n">
        <v>1931</v>
      </c>
    </row>
    <row r="365">
      <c r="A365" s="12" t="inlineStr">
        <is>
          <t>4Q25</t>
        </is>
      </c>
      <c r="B365" s="12" t="inlineStr">
        <is>
          <t>sre</t>
        </is>
      </c>
      <c r="C365" s="12" t="n">
        <v>865</v>
      </c>
    </row>
    <row r="366">
      <c r="A366" s="12" t="inlineStr">
        <is>
          <t>4Q25</t>
        </is>
      </c>
      <c r="B366" s="12" t="inlineStr">
        <is>
          <t>sre_alt_nii</t>
        </is>
      </c>
      <c r="C366" s="12" t="n">
        <v>344</v>
      </c>
    </row>
    <row r="367">
      <c r="A367" s="12" t="inlineStr">
        <is>
          <t>4Q25</t>
        </is>
      </c>
      <c r="B367" s="12" t="inlineStr">
        <is>
          <t>sre_alt_nii_pct</t>
        </is>
      </c>
      <c r="C367" s="12" t="n">
        <v>10.19</v>
      </c>
    </row>
    <row r="368">
      <c r="A368" s="12" t="inlineStr">
        <is>
          <t>4Q25</t>
        </is>
      </c>
      <c r="B368" s="12" t="inlineStr">
        <is>
          <t>sre_cof</t>
        </is>
      </c>
      <c r="C368" s="12" t="n">
        <v>-2742</v>
      </c>
    </row>
    <row r="369">
      <c r="A369" s="12" t="inlineStr">
        <is>
          <t>4Q25</t>
        </is>
      </c>
      <c r="B369" s="12" t="inlineStr">
        <is>
          <t>sre_cof_pct</t>
        </is>
      </c>
      <c r="C369" s="12" t="n">
        <v>-3.79</v>
      </c>
    </row>
    <row r="370">
      <c r="A370" s="12" t="inlineStr">
        <is>
          <t>4Q25</t>
        </is>
      </c>
      <c r="B370" s="12" t="inlineStr">
        <is>
          <t>sre_fees</t>
        </is>
      </c>
      <c r="C370" s="12" t="n">
        <v>35</v>
      </c>
    </row>
    <row r="371">
      <c r="A371" s="12" t="inlineStr">
        <is>
          <t>4Q25</t>
        </is>
      </c>
      <c r="B371" s="12" t="inlineStr">
        <is>
          <t>sre_fees_pct</t>
        </is>
      </c>
      <c r="C371" s="12" t="n">
        <v>0.05</v>
      </c>
    </row>
    <row r="372">
      <c r="A372" s="12" t="inlineStr">
        <is>
          <t>4Q25</t>
        </is>
      </c>
      <c r="B372" s="12" t="inlineStr">
        <is>
          <t>sre_fi_nii</t>
        </is>
      </c>
      <c r="C372" s="12" t="n">
        <v>3505</v>
      </c>
    </row>
    <row r="373">
      <c r="A373" s="12" t="inlineStr">
        <is>
          <t>4Q25</t>
        </is>
      </c>
      <c r="B373" s="12" t="inlineStr">
        <is>
          <t>sre_fi_nii_pct</t>
        </is>
      </c>
      <c r="C373" s="12" t="n">
        <v>5.08</v>
      </c>
    </row>
    <row r="374">
      <c r="A374" s="12" t="inlineStr">
        <is>
          <t>4Q25</t>
        </is>
      </c>
      <c r="B374" s="12" t="inlineStr">
        <is>
          <t>sre_fin</t>
        </is>
      </c>
      <c r="C374" s="12" t="n">
        <v>-158</v>
      </c>
    </row>
    <row r="375">
      <c r="A375" s="12" t="inlineStr">
        <is>
          <t>4Q25</t>
        </is>
      </c>
      <c r="B375" s="12" t="inlineStr">
        <is>
          <t>sre_fin_pct</t>
        </is>
      </c>
      <c r="C375" s="12" t="n">
        <v>-0.22</v>
      </c>
    </row>
    <row r="376">
      <c r="A376" s="12" t="inlineStr">
        <is>
          <t>4Q25</t>
        </is>
      </c>
      <c r="B376" s="12" t="inlineStr">
        <is>
          <t>sre_nie</t>
        </is>
      </c>
      <c r="C376" s="12" t="n">
        <v>3849</v>
      </c>
    </row>
    <row r="377">
      <c r="A377" s="12" t="inlineStr">
        <is>
          <t>4Q25</t>
        </is>
      </c>
      <c r="B377" s="12" t="inlineStr">
        <is>
          <t>sre_nie_pct</t>
        </is>
      </c>
      <c r="C377" s="12" t="n">
        <v>5.32</v>
      </c>
    </row>
    <row r="378">
      <c r="A378" s="12" t="inlineStr">
        <is>
          <t>4Q25</t>
        </is>
      </c>
      <c r="B378" s="12" t="inlineStr">
        <is>
          <t>sre_nis</t>
        </is>
      </c>
      <c r="C378" s="12" t="n">
        <v>1142</v>
      </c>
    </row>
    <row r="379">
      <c r="A379" s="12" t="inlineStr">
        <is>
          <t>4Q25</t>
        </is>
      </c>
      <c r="B379" s="12" t="inlineStr">
        <is>
          <t>sre_nis_pct</t>
        </is>
      </c>
      <c r="C379" s="12" t="n">
        <v>1.58</v>
      </c>
    </row>
    <row r="380">
      <c r="A380" s="12" t="inlineStr">
        <is>
          <t>4Q25</t>
        </is>
      </c>
      <c r="B380" s="12" t="inlineStr">
        <is>
          <t>sre_opex</t>
        </is>
      </c>
      <c r="C380" s="12" t="n">
        <v>-119</v>
      </c>
    </row>
    <row r="381">
      <c r="A381" s="12" t="inlineStr">
        <is>
          <t>4Q25</t>
        </is>
      </c>
      <c r="B381" s="12" t="inlineStr">
        <is>
          <t>sre_opex_pct</t>
        </is>
      </c>
      <c r="C381" s="12" t="n">
        <v>-0.16</v>
      </c>
    </row>
    <row r="382">
      <c r="A382" s="12" t="inlineStr">
        <is>
          <t>4Q25</t>
        </is>
      </c>
      <c r="B382" s="12" t="inlineStr">
        <is>
          <t>sre_pct</t>
        </is>
      </c>
      <c r="C382" s="12" t="n">
        <v>1.2</v>
      </c>
    </row>
    <row r="383">
      <c r="A383" s="12" t="inlineStr">
        <is>
          <t>4Q25</t>
        </is>
      </c>
      <c r="B383" s="12" t="inlineStr">
        <is>
          <t>total_gross_inflows</t>
        </is>
      </c>
      <c r="C383" s="12" t="n">
        <v>14027</v>
      </c>
    </row>
    <row r="384">
      <c r="A384" s="12" t="inlineStr">
        <is>
          <t>4Q25</t>
        </is>
      </c>
      <c r="B384" s="12" t="inlineStr">
        <is>
          <t>total_gross_inflows_check</t>
        </is>
      </c>
      <c r="C384" s="12" t="n">
        <v>14027</v>
      </c>
    </row>
    <row r="385">
      <c r="A385" s="12" t="inlineStr">
        <is>
          <t>4Q25</t>
        </is>
      </c>
      <c r="B385" s="12" t="inlineStr">
        <is>
          <t>total_gross_outflows_check</t>
        </is>
      </c>
      <c r="C385" s="12" t="n">
        <v>-9268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ATHENE QUARTERLY ENGINE — README</t>
        </is>
      </c>
    </row>
    <row r="2">
      <c r="A2" s="12" t="inlineStr"/>
    </row>
    <row r="3">
      <c r="A3" s="12" t="inlineStr">
        <is>
          <t>WHAT THIS IS: the machine as three linked ledgers per quarter — money in (two cuts that must agree), reserves</t>
        </is>
      </c>
    </row>
    <row r="4">
      <c r="A4" s="12" t="inlineStr">
        <is>
          <t>(stock + flow with rollforward and continuity checks), and the income engine (earnings − cost of funds = spread).</t>
        </is>
      </c>
    </row>
    <row r="5">
      <c r="A5" s="12" t="inlineStr"/>
    </row>
    <row r="6">
      <c r="A6" s="12" t="inlineStr">
        <is>
          <t>SOURCES: ATH Q4 2025 and Q1 2026 Financial Supplements (Athene IR; URLs + sha256 in acquisition/manifest.csv).</t>
        </is>
      </c>
    </row>
    <row r="7">
      <c r="A7" s="12" t="inlineStr">
        <is>
          <t>Every blue cell was machine-extracted and passed exact cross-foot gates before entering this workbook;</t>
        </is>
      </c>
    </row>
    <row r="8">
      <c r="A8" s="12" t="inlineStr">
        <is>
          <t>overlapping quarters in the two documents were verified identical. Extractor: tools/parse_fin_supplement.py.</t>
        </is>
      </c>
    </row>
    <row r="9">
      <c r="A9" s="12" t="inlineStr"/>
    </row>
    <row r="10">
      <c r="A10" s="12" t="inlineStr">
        <is>
          <t>LEGEND: blue = filed value · black bold = formula (recalculates in Excel) · grey = checks ("FAIL" if broken)</t>
        </is>
      </c>
    </row>
    <row r="11">
      <c r="A11" s="12" t="inlineStr">
        <is>
          <t>· yellow column (2Q26) = fill in when the next supplement publishes (~Aug 2026).</t>
        </is>
      </c>
    </row>
    <row r="12">
      <c r="A12" s="12" t="inlineStr"/>
    </row>
    <row r="13">
      <c r="A13" s="12" t="inlineStr">
        <is>
          <t>COVERAGE BOUNDARY: 1Q24–3Q24 supplements use an unmapped font encoding (values not machine-readable);</t>
        </is>
      </c>
    </row>
    <row r="14">
      <c r="A14" s="12" t="inlineStr">
        <is>
          <t>a glyph decoder is a parked work item. Columns will extend left when decoded.</t>
        </is>
      </c>
    </row>
    <row r="15">
      <c r="A15" s="12" t="inlineStr"/>
    </row>
    <row r="16">
      <c r="A16" s="12" t="inlineStr">
        <is>
          <t>NOT IN THIS WORKBOOK (annual-only data): the expense/tax bridge to GAAP net income lives on the dashboard</t>
        </is>
      </c>
    </row>
    <row r="17">
      <c r="A17" s="12" t="inlineStr">
        <is>
          <t>engine panel (section 7) from 10-K claims; credit-loss provisioning is annual (see findings 54–56).</t>
        </is>
      </c>
    </row>
    <row r="18">
      <c r="A18" s="12" t="inlineStr"/>
    </row>
    <row r="19">
      <c r="A19" s="12" t="inlineStr">
        <is>
          <t>READ 1Q26: net investment spread 1.34% (was 1.65% a year ago, −31bp) — cost of funds is repricing up (3.79%)</t>
        </is>
      </c>
    </row>
    <row r="20">
      <c r="A20" s="12" t="inlineStr">
        <is>
          <t>faster than earned yield; alternatives earned 5.79% vs ~10% run-rate; SRE margin below 1% for the first time.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2026-07-22T16:56:38Z</dcterms:created>
  <dcterms:modified xsi:type="dcterms:W3CDTF">2026-07-22T16:56:38Z</dcterms:modified>
</cp:coreProperties>
</file>